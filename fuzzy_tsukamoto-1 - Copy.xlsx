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uanm\Downloads\"/>
    </mc:Choice>
  </mc:AlternateContent>
  <xr:revisionPtr revIDLastSave="0" documentId="13_ncr:1_{6783CF5F-E63B-4F7E-B072-629CEB26E1E0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parameter_fuzzy" sheetId="1" r:id="rId1"/>
    <sheet name="aturan_fuzzy (rule)" sheetId="2" r:id="rId2"/>
    <sheet name="data_input" sheetId="3" r:id="rId3"/>
    <sheet name="fuzzifikasi" sheetId="4" r:id="rId4"/>
    <sheet name="rule_evaluation (inferensi)" sheetId="7" r:id="rId5"/>
    <sheet name="hasil_final (defuzzifikasi)" sheetId="8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4" l="1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2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140" i="7"/>
  <c r="E142" i="7"/>
  <c r="E143" i="7"/>
  <c r="E144" i="7"/>
  <c r="E145" i="7"/>
  <c r="E146" i="7"/>
  <c r="E147" i="7"/>
  <c r="E148" i="7"/>
  <c r="E149" i="7"/>
  <c r="E150" i="7"/>
  <c r="E151" i="7"/>
  <c r="E152" i="7"/>
  <c r="E153" i="7"/>
  <c r="E154" i="7"/>
  <c r="E155" i="7"/>
  <c r="E156" i="7"/>
  <c r="E157" i="7"/>
  <c r="E158" i="7"/>
  <c r="E159" i="7"/>
  <c r="E160" i="7"/>
  <c r="E161" i="7"/>
  <c r="E162" i="7"/>
  <c r="E163" i="7"/>
  <c r="E164" i="7"/>
  <c r="E165" i="7"/>
  <c r="E166" i="7"/>
  <c r="E167" i="7"/>
  <c r="E168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2" i="7"/>
  <c r="M3" i="4"/>
  <c r="M4" i="4"/>
  <c r="M5" i="4"/>
  <c r="M6" i="4"/>
  <c r="M7" i="4"/>
  <c r="M2" i="4"/>
  <c r="L3" i="4"/>
  <c r="L4" i="4"/>
  <c r="L5" i="4"/>
  <c r="L6" i="4"/>
  <c r="L7" i="4"/>
  <c r="L2" i="4"/>
  <c r="K3" i="4"/>
  <c r="K4" i="4"/>
  <c r="K5" i="4"/>
  <c r="K6" i="4"/>
  <c r="K7" i="4"/>
  <c r="K2" i="4"/>
  <c r="I3" i="4"/>
  <c r="I4" i="4"/>
  <c r="I5" i="4"/>
  <c r="I6" i="4"/>
  <c r="I7" i="4"/>
  <c r="I2" i="4"/>
  <c r="E8" i="7" s="1"/>
  <c r="H3" i="4"/>
  <c r="H4" i="4"/>
  <c r="H5" i="4"/>
  <c r="H6" i="4"/>
  <c r="H7" i="4"/>
  <c r="H2" i="4"/>
  <c r="E16" i="7" s="1"/>
  <c r="G3" i="4"/>
  <c r="G4" i="4"/>
  <c r="G5" i="4"/>
  <c r="G6" i="4"/>
  <c r="G7" i="4"/>
  <c r="G2" i="4"/>
  <c r="E3" i="7" s="1"/>
  <c r="E3" i="4"/>
  <c r="E4" i="4"/>
  <c r="E5" i="4"/>
  <c r="E6" i="4"/>
  <c r="E7" i="4"/>
  <c r="E2" i="4"/>
  <c r="D3" i="4"/>
  <c r="D4" i="4"/>
  <c r="D5" i="4"/>
  <c r="D6" i="4"/>
  <c r="D7" i="4"/>
  <c r="D2" i="4"/>
  <c r="C3" i="4"/>
  <c r="C4" i="4"/>
  <c r="C5" i="4"/>
  <c r="C6" i="4"/>
  <c r="C7" i="4"/>
  <c r="C2" i="4"/>
  <c r="B2" i="4"/>
  <c r="E23" i="7" l="1"/>
  <c r="E15" i="7"/>
  <c r="E7" i="7"/>
  <c r="E22" i="7"/>
  <c r="E14" i="7"/>
  <c r="E6" i="7"/>
  <c r="E21" i="7"/>
  <c r="E13" i="7"/>
  <c r="G13" i="7" s="1"/>
  <c r="H13" i="7" s="1"/>
  <c r="I13" i="7" s="1"/>
  <c r="E5" i="7"/>
  <c r="E2" i="7"/>
  <c r="E28" i="7"/>
  <c r="E20" i="7"/>
  <c r="E12" i="7"/>
  <c r="E4" i="7"/>
  <c r="G4" i="7" s="1"/>
  <c r="H4" i="7" s="1"/>
  <c r="E27" i="7"/>
  <c r="E19" i="7"/>
  <c r="E11" i="7"/>
  <c r="E26" i="7"/>
  <c r="G26" i="7" s="1"/>
  <c r="H26" i="7" s="1"/>
  <c r="I26" i="7" s="1"/>
  <c r="E18" i="7"/>
  <c r="E10" i="7"/>
  <c r="E25" i="7"/>
  <c r="E17" i="7"/>
  <c r="E9" i="7"/>
  <c r="G9" i="7" s="1"/>
  <c r="H9" i="7" s="1"/>
  <c r="I9" i="7" s="1"/>
  <c r="E24" i="7"/>
  <c r="G24" i="7" s="1"/>
  <c r="H24" i="7" s="1"/>
  <c r="I24" i="7" s="1"/>
  <c r="G109" i="7"/>
  <c r="H109" i="7" s="1"/>
  <c r="I109" i="7" s="1"/>
  <c r="G137" i="7"/>
  <c r="H137" i="7" s="1"/>
  <c r="I137" i="7" s="1"/>
  <c r="G84" i="7"/>
  <c r="H84" i="7" s="1"/>
  <c r="I84" i="7" s="1"/>
  <c r="G167" i="7"/>
  <c r="H167" i="7" s="1"/>
  <c r="I167" i="7" s="1"/>
  <c r="G158" i="7"/>
  <c r="H158" i="7" s="1"/>
  <c r="I158" i="7" s="1"/>
  <c r="G164" i="7"/>
  <c r="H164" i="7" s="1"/>
  <c r="I164" i="7" s="1"/>
  <c r="G145" i="7"/>
  <c r="H145" i="7" s="1"/>
  <c r="I145" i="7" s="1"/>
  <c r="G154" i="7"/>
  <c r="H154" i="7" s="1"/>
  <c r="I154" i="7" s="1"/>
  <c r="G147" i="7"/>
  <c r="H147" i="7" s="1"/>
  <c r="I147" i="7" s="1"/>
  <c r="G81" i="7"/>
  <c r="H81" i="7" s="1"/>
  <c r="I81" i="7" s="1"/>
  <c r="G71" i="7"/>
  <c r="H71" i="7" s="1"/>
  <c r="I71" i="7" s="1"/>
  <c r="G62" i="7"/>
  <c r="H62" i="7" s="1"/>
  <c r="I62" i="7" s="1"/>
  <c r="G156" i="7"/>
  <c r="H156" i="7" s="1"/>
  <c r="I156" i="7" s="1"/>
  <c r="G80" i="7"/>
  <c r="H80" i="7" s="1"/>
  <c r="I80" i="7" s="1"/>
  <c r="G70" i="7"/>
  <c r="H70" i="7" s="1"/>
  <c r="I70" i="7" s="1"/>
  <c r="G96" i="7"/>
  <c r="H96" i="7" s="1"/>
  <c r="I96" i="7" s="1"/>
  <c r="G88" i="7"/>
  <c r="H88" i="7" s="1"/>
  <c r="I88" i="7" s="1"/>
  <c r="G153" i="7"/>
  <c r="H153" i="7" s="1"/>
  <c r="I153" i="7" s="1"/>
  <c r="G95" i="7"/>
  <c r="H95" i="7" s="1"/>
  <c r="I95" i="7" s="1"/>
  <c r="G152" i="7"/>
  <c r="H152" i="7" s="1"/>
  <c r="I152" i="7" s="1"/>
  <c r="G77" i="7"/>
  <c r="H77" i="7" s="1"/>
  <c r="I77" i="7" s="1"/>
  <c r="G163" i="7"/>
  <c r="H163" i="7" s="1"/>
  <c r="I163" i="7" s="1"/>
  <c r="G112" i="7"/>
  <c r="H112" i="7" s="1"/>
  <c r="I112" i="7" s="1"/>
  <c r="G111" i="7"/>
  <c r="H111" i="7" s="1"/>
  <c r="I111" i="7" s="1"/>
  <c r="G168" i="7"/>
  <c r="H168" i="7" s="1"/>
  <c r="I168" i="7" s="1"/>
  <c r="G44" i="7"/>
  <c r="H44" i="7" s="1"/>
  <c r="I44" i="7" s="1"/>
  <c r="G35" i="7"/>
  <c r="H35" i="7" s="1"/>
  <c r="I35" i="7" s="1"/>
  <c r="G32" i="7"/>
  <c r="H32" i="7" s="1"/>
  <c r="I32" i="7" s="1"/>
  <c r="G50" i="7"/>
  <c r="H50" i="7" s="1"/>
  <c r="I50" i="7" s="1"/>
  <c r="G41" i="7"/>
  <c r="H41" i="7" s="1"/>
  <c r="I41" i="7" s="1"/>
  <c r="G56" i="7"/>
  <c r="H56" i="7" s="1"/>
  <c r="I56" i="7" s="1"/>
  <c r="G47" i="7"/>
  <c r="H47" i="7" s="1"/>
  <c r="I47" i="7" s="1"/>
  <c r="G22" i="7"/>
  <c r="H22" i="7" s="1"/>
  <c r="I22" i="7" s="1"/>
  <c r="G130" i="7"/>
  <c r="H130" i="7" s="1"/>
  <c r="I130" i="7" s="1"/>
  <c r="G136" i="7"/>
  <c r="H136" i="7" s="1"/>
  <c r="I136" i="7" s="1"/>
  <c r="G127" i="7"/>
  <c r="H127" i="7" s="1"/>
  <c r="I127" i="7" s="1"/>
  <c r="G118" i="7"/>
  <c r="H118" i="7" s="1"/>
  <c r="I118" i="7" s="1"/>
  <c r="G12" i="7"/>
  <c r="H12" i="7" s="1"/>
  <c r="G45" i="7"/>
  <c r="H45" i="7" s="1"/>
  <c r="I45" i="7" s="1"/>
  <c r="G36" i="7"/>
  <c r="H36" i="7" s="1"/>
  <c r="I36" i="7" s="1"/>
  <c r="G51" i="7"/>
  <c r="H51" i="7" s="1"/>
  <c r="I51" i="7" s="1"/>
  <c r="G11" i="7"/>
  <c r="H11" i="7" s="1"/>
  <c r="I11" i="7" s="1"/>
  <c r="G8" i="7"/>
  <c r="H8" i="7" s="1"/>
  <c r="I8" i="7" s="1"/>
  <c r="G155" i="7"/>
  <c r="H155" i="7" s="1"/>
  <c r="I155" i="7" s="1"/>
  <c r="G138" i="7"/>
  <c r="H138" i="7" s="1"/>
  <c r="I138" i="7" s="1"/>
  <c r="G122" i="7"/>
  <c r="H122" i="7" s="1"/>
  <c r="I122" i="7" s="1"/>
  <c r="G114" i="7"/>
  <c r="H114" i="7" s="1"/>
  <c r="I114" i="7" s="1"/>
  <c r="G105" i="7"/>
  <c r="H105" i="7" s="1"/>
  <c r="I105" i="7" s="1"/>
  <c r="G97" i="7"/>
  <c r="H97" i="7" s="1"/>
  <c r="I97" i="7" s="1"/>
  <c r="G89" i="7"/>
  <c r="H89" i="7" s="1"/>
  <c r="I89" i="7" s="1"/>
  <c r="G72" i="7"/>
  <c r="H72" i="7" s="1"/>
  <c r="I72" i="7" s="1"/>
  <c r="G64" i="7"/>
  <c r="H64" i="7" s="1"/>
  <c r="I64" i="7" s="1"/>
  <c r="G55" i="7"/>
  <c r="H55" i="7" s="1"/>
  <c r="I55" i="7" s="1"/>
  <c r="G39" i="7"/>
  <c r="H39" i="7" s="1"/>
  <c r="I39" i="7" s="1"/>
  <c r="G31" i="7"/>
  <c r="H31" i="7" s="1"/>
  <c r="I31" i="7" s="1"/>
  <c r="G128" i="7"/>
  <c r="H128" i="7" s="1"/>
  <c r="I128" i="7" s="1"/>
  <c r="G146" i="7"/>
  <c r="H146" i="7" s="1"/>
  <c r="I146" i="7" s="1"/>
  <c r="G129" i="7"/>
  <c r="H129" i="7" s="1"/>
  <c r="I129" i="7" s="1"/>
  <c r="G121" i="7"/>
  <c r="H121" i="7" s="1"/>
  <c r="I121" i="7" s="1"/>
  <c r="G54" i="7"/>
  <c r="H54" i="7" s="1"/>
  <c r="I54" i="7" s="1"/>
  <c r="G38" i="7"/>
  <c r="H38" i="7" s="1"/>
  <c r="I38" i="7" s="1"/>
  <c r="G79" i="7"/>
  <c r="H79" i="7" s="1"/>
  <c r="I79" i="7" s="1"/>
  <c r="G63" i="7"/>
  <c r="H63" i="7" s="1"/>
  <c r="I63" i="7" s="1"/>
  <c r="G46" i="7"/>
  <c r="H46" i="7" s="1"/>
  <c r="I46" i="7" s="1"/>
  <c r="G30" i="7"/>
  <c r="H30" i="7" s="1"/>
  <c r="I30" i="7" s="1"/>
  <c r="G144" i="7"/>
  <c r="H144" i="7" s="1"/>
  <c r="I144" i="7" s="1"/>
  <c r="G135" i="7"/>
  <c r="H135" i="7" s="1"/>
  <c r="I135" i="7" s="1"/>
  <c r="G119" i="7"/>
  <c r="H119" i="7" s="1"/>
  <c r="I119" i="7" s="1"/>
  <c r="G110" i="7"/>
  <c r="H110" i="7" s="1"/>
  <c r="I110" i="7" s="1"/>
  <c r="G102" i="7"/>
  <c r="H102" i="7" s="1"/>
  <c r="I102" i="7" s="1"/>
  <c r="G94" i="7"/>
  <c r="H94" i="7" s="1"/>
  <c r="I94" i="7" s="1"/>
  <c r="G86" i="7"/>
  <c r="H86" i="7" s="1"/>
  <c r="I86" i="7" s="1"/>
  <c r="G69" i="7"/>
  <c r="H69" i="7" s="1"/>
  <c r="I69" i="7" s="1"/>
  <c r="G61" i="7"/>
  <c r="H61" i="7" s="1"/>
  <c r="I61" i="7" s="1"/>
  <c r="G52" i="7"/>
  <c r="H52" i="7" s="1"/>
  <c r="I52" i="7" s="1"/>
  <c r="G25" i="7"/>
  <c r="H25" i="7" s="1"/>
  <c r="I25" i="7" s="1"/>
  <c r="G21" i="7"/>
  <c r="H21" i="7" s="1"/>
  <c r="I21" i="7" s="1"/>
  <c r="G120" i="7"/>
  <c r="H120" i="7" s="1"/>
  <c r="I120" i="7" s="1"/>
  <c r="G103" i="7"/>
  <c r="H103" i="7" s="1"/>
  <c r="I103" i="7" s="1"/>
  <c r="G53" i="7"/>
  <c r="H53" i="7" s="1"/>
  <c r="I53" i="7" s="1"/>
  <c r="G37" i="7"/>
  <c r="H37" i="7" s="1"/>
  <c r="I37" i="7" s="1"/>
  <c r="G151" i="7"/>
  <c r="H151" i="7" s="1"/>
  <c r="I151" i="7" s="1"/>
  <c r="G134" i="7"/>
  <c r="H134" i="7" s="1"/>
  <c r="I134" i="7" s="1"/>
  <c r="G93" i="7"/>
  <c r="H93" i="7" s="1"/>
  <c r="I93" i="7" s="1"/>
  <c r="G76" i="7"/>
  <c r="H76" i="7" s="1"/>
  <c r="I76" i="7" s="1"/>
  <c r="G60" i="7"/>
  <c r="H60" i="7" s="1"/>
  <c r="I60" i="7" s="1"/>
  <c r="G159" i="7"/>
  <c r="H159" i="7" s="1"/>
  <c r="I159" i="7" s="1"/>
  <c r="G143" i="7"/>
  <c r="H143" i="7" s="1"/>
  <c r="I143" i="7" s="1"/>
  <c r="G126" i="7"/>
  <c r="H126" i="7" s="1"/>
  <c r="I126" i="7" s="1"/>
  <c r="G101" i="7"/>
  <c r="H101" i="7" s="1"/>
  <c r="I101" i="7" s="1"/>
  <c r="G68" i="7"/>
  <c r="H68" i="7" s="1"/>
  <c r="I68" i="7" s="1"/>
  <c r="G43" i="7"/>
  <c r="H43" i="7" s="1"/>
  <c r="I43" i="7" s="1"/>
  <c r="G14" i="7"/>
  <c r="H14" i="7" s="1"/>
  <c r="I14" i="7" s="1"/>
  <c r="G5" i="7"/>
  <c r="H5" i="7" s="1"/>
  <c r="I5" i="7" s="1"/>
  <c r="G28" i="7"/>
  <c r="H28" i="7" s="1"/>
  <c r="G166" i="7"/>
  <c r="H166" i="7" s="1"/>
  <c r="I166" i="7" s="1"/>
  <c r="G150" i="7"/>
  <c r="H150" i="7" s="1"/>
  <c r="I150" i="7" s="1"/>
  <c r="G142" i="7"/>
  <c r="G133" i="7"/>
  <c r="H133" i="7" s="1"/>
  <c r="I133" i="7" s="1"/>
  <c r="G125" i="7"/>
  <c r="H125" i="7" s="1"/>
  <c r="I125" i="7" s="1"/>
  <c r="G117" i="7"/>
  <c r="H117" i="7" s="1"/>
  <c r="I117" i="7" s="1"/>
  <c r="G108" i="7"/>
  <c r="H108" i="7" s="1"/>
  <c r="I108" i="7" s="1"/>
  <c r="G100" i="7"/>
  <c r="H100" i="7" s="1"/>
  <c r="I100" i="7" s="1"/>
  <c r="G92" i="7"/>
  <c r="H92" i="7" s="1"/>
  <c r="I92" i="7" s="1"/>
  <c r="G83" i="7"/>
  <c r="H83" i="7" s="1"/>
  <c r="I83" i="7" s="1"/>
  <c r="G75" i="7"/>
  <c r="H75" i="7" s="1"/>
  <c r="I75" i="7" s="1"/>
  <c r="G67" i="7"/>
  <c r="H67" i="7" s="1"/>
  <c r="I67" i="7" s="1"/>
  <c r="G59" i="7"/>
  <c r="H59" i="7" s="1"/>
  <c r="I59" i="7" s="1"/>
  <c r="G42" i="7"/>
  <c r="H42" i="7" s="1"/>
  <c r="I42" i="7" s="1"/>
  <c r="G34" i="7"/>
  <c r="H34" i="7" s="1"/>
  <c r="I34" i="7" s="1"/>
  <c r="G17" i="7"/>
  <c r="H17" i="7" s="1"/>
  <c r="I17" i="7" s="1"/>
  <c r="G148" i="7"/>
  <c r="H148" i="7" s="1"/>
  <c r="I148" i="7" s="1"/>
  <c r="G139" i="7"/>
  <c r="H139" i="7" s="1"/>
  <c r="I139" i="7" s="1"/>
  <c r="G131" i="7"/>
  <c r="H131" i="7" s="1"/>
  <c r="G123" i="7"/>
  <c r="H123" i="7" s="1"/>
  <c r="I123" i="7" s="1"/>
  <c r="G115" i="7"/>
  <c r="H115" i="7" s="1"/>
  <c r="I115" i="7" s="1"/>
  <c r="G106" i="7"/>
  <c r="H106" i="7" s="1"/>
  <c r="I106" i="7" s="1"/>
  <c r="G98" i="7"/>
  <c r="H98" i="7" s="1"/>
  <c r="I98" i="7" s="1"/>
  <c r="G90" i="7"/>
  <c r="H90" i="7" s="1"/>
  <c r="I90" i="7" s="1"/>
  <c r="G73" i="7"/>
  <c r="H73" i="7" s="1"/>
  <c r="I73" i="7" s="1"/>
  <c r="G65" i="7"/>
  <c r="H65" i="7" s="1"/>
  <c r="I65" i="7" s="1"/>
  <c r="G48" i="7"/>
  <c r="H48" i="7" s="1"/>
  <c r="I48" i="7" s="1"/>
  <c r="G40" i="7"/>
  <c r="H40" i="7" s="1"/>
  <c r="G19" i="7"/>
  <c r="H19" i="7" s="1"/>
  <c r="I19" i="7" s="1"/>
  <c r="G3" i="7"/>
  <c r="H3" i="7" s="1"/>
  <c r="I3" i="7" s="1"/>
  <c r="G18" i="7"/>
  <c r="H18" i="7" s="1"/>
  <c r="I18" i="7" s="1"/>
  <c r="G15" i="7"/>
  <c r="H15" i="7" s="1"/>
  <c r="I15" i="7" s="1"/>
  <c r="G7" i="7"/>
  <c r="H7" i="7" s="1"/>
  <c r="I7" i="7" s="1"/>
  <c r="G165" i="7"/>
  <c r="H165" i="7" s="1"/>
  <c r="I165" i="7" s="1"/>
  <c r="G157" i="7"/>
  <c r="H157" i="7" s="1"/>
  <c r="I157" i="7" s="1"/>
  <c r="G149" i="7"/>
  <c r="H149" i="7" s="1"/>
  <c r="I149" i="7" s="1"/>
  <c r="G140" i="7"/>
  <c r="H140" i="7" s="1"/>
  <c r="I140" i="7" s="1"/>
  <c r="G132" i="7"/>
  <c r="H132" i="7" s="1"/>
  <c r="I132" i="7" s="1"/>
  <c r="G124" i="7"/>
  <c r="H124" i="7" s="1"/>
  <c r="I124" i="7" s="1"/>
  <c r="G116" i="7"/>
  <c r="H116" i="7" s="1"/>
  <c r="I116" i="7" s="1"/>
  <c r="G107" i="7"/>
  <c r="G99" i="7"/>
  <c r="H99" i="7" s="1"/>
  <c r="I99" i="7" s="1"/>
  <c r="G91" i="7"/>
  <c r="H91" i="7" s="1"/>
  <c r="I91" i="7" s="1"/>
  <c r="G82" i="7"/>
  <c r="H82" i="7" s="1"/>
  <c r="I82" i="7" s="1"/>
  <c r="G74" i="7"/>
  <c r="H74" i="7" s="1"/>
  <c r="I74" i="7" s="1"/>
  <c r="G66" i="7"/>
  <c r="H66" i="7" s="1"/>
  <c r="I66" i="7" s="1"/>
  <c r="G58" i="7"/>
  <c r="H58" i="7" s="1"/>
  <c r="G49" i="7"/>
  <c r="H49" i="7" s="1"/>
  <c r="G33" i="7"/>
  <c r="H33" i="7" s="1"/>
  <c r="I33" i="7" s="1"/>
  <c r="G16" i="7"/>
  <c r="H16" i="7" s="1"/>
  <c r="I16" i="7" s="1"/>
  <c r="J7" i="4"/>
  <c r="F7" i="4"/>
  <c r="B7" i="4"/>
  <c r="A7" i="4"/>
  <c r="J6" i="4"/>
  <c r="F6" i="4"/>
  <c r="B6" i="4"/>
  <c r="A6" i="4"/>
  <c r="J5" i="4"/>
  <c r="F5" i="4"/>
  <c r="B5" i="4"/>
  <c r="A5" i="4"/>
  <c r="J4" i="4"/>
  <c r="F4" i="4"/>
  <c r="B4" i="4"/>
  <c r="A4" i="4"/>
  <c r="J3" i="4"/>
  <c r="F3" i="4"/>
  <c r="B3" i="4"/>
  <c r="A3" i="4"/>
  <c r="J2" i="4"/>
  <c r="A2" i="4"/>
  <c r="G160" i="7" l="1"/>
  <c r="H160" i="7" s="1"/>
  <c r="I160" i="7" s="1"/>
  <c r="G87" i="7"/>
  <c r="H87" i="7" s="1"/>
  <c r="I87" i="7" s="1"/>
  <c r="G104" i="7"/>
  <c r="H104" i="7" s="1"/>
  <c r="I104" i="7" s="1"/>
  <c r="G162" i="7"/>
  <c r="H162" i="7" s="1"/>
  <c r="I162" i="7" s="1"/>
  <c r="G161" i="7"/>
  <c r="H161" i="7" s="1"/>
  <c r="I161" i="7" s="1"/>
  <c r="G78" i="7"/>
  <c r="H78" i="7" s="1"/>
  <c r="I78" i="7" s="1"/>
  <c r="G20" i="7"/>
  <c r="H20" i="7" s="1"/>
  <c r="G10" i="7"/>
  <c r="H10" i="7" s="1"/>
  <c r="I10" i="7" s="1"/>
  <c r="G27" i="7"/>
  <c r="H27" i="7" s="1"/>
  <c r="I27" i="7" s="1"/>
  <c r="G2" i="7"/>
  <c r="H2" i="7" s="1"/>
  <c r="I2" i="7" s="1"/>
  <c r="G6" i="7"/>
  <c r="H6" i="7" s="1"/>
  <c r="I6" i="7" s="1"/>
  <c r="G23" i="7"/>
  <c r="H23" i="7" s="1"/>
  <c r="I23" i="7" s="1"/>
  <c r="I4" i="7"/>
  <c r="B3" i="8"/>
  <c r="B6" i="8"/>
  <c r="B7" i="8"/>
  <c r="I28" i="7"/>
  <c r="H107" i="7"/>
  <c r="I107" i="7" s="1"/>
  <c r="B4" i="8"/>
  <c r="H142" i="7"/>
  <c r="I142" i="7" s="1"/>
  <c r="I12" i="7"/>
  <c r="I49" i="7"/>
  <c r="I58" i="7"/>
  <c r="C5" i="8" s="1"/>
  <c r="I40" i="7"/>
  <c r="I131" i="7"/>
  <c r="C4" i="8" s="1"/>
  <c r="C7" i="8" l="1"/>
  <c r="D7" i="8" s="1"/>
  <c r="E7" i="8" s="1"/>
  <c r="C6" i="8"/>
  <c r="D6" i="8" s="1"/>
  <c r="E6" i="8" s="1"/>
  <c r="B5" i="8"/>
  <c r="D5" i="8" s="1"/>
  <c r="E5" i="8" s="1"/>
  <c r="I20" i="7"/>
  <c r="C2" i="8" s="1"/>
  <c r="B2" i="8"/>
  <c r="C3" i="8"/>
  <c r="D3" i="8" s="1"/>
  <c r="E3" i="8" s="1"/>
  <c r="D4" i="8"/>
  <c r="E4" i="8" s="1"/>
  <c r="D2" i="8" l="1"/>
  <c r="E2" i="8" s="1"/>
</calcChain>
</file>

<file path=xl/sharedStrings.xml><?xml version="1.0" encoding="utf-8"?>
<sst xmlns="http://schemas.openxmlformats.org/spreadsheetml/2006/main" count="692" uniqueCount="75">
  <si>
    <t>Variabel</t>
  </si>
  <si>
    <t>Himpunan</t>
  </si>
  <si>
    <t>a</t>
  </si>
  <si>
    <t>b</t>
  </si>
  <si>
    <t>c</t>
  </si>
  <si>
    <t>Volatilitas</t>
  </si>
  <si>
    <t>Rendah</t>
  </si>
  <si>
    <t>Sedang</t>
  </si>
  <si>
    <t>Tinggi</t>
  </si>
  <si>
    <t>Volume</t>
  </si>
  <si>
    <t>Frekuensi</t>
  </si>
  <si>
    <t>kode</t>
  </si>
  <si>
    <t>selisih</t>
  </si>
  <si>
    <t>volume</t>
  </si>
  <si>
    <t>frekuensi</t>
  </si>
  <si>
    <t>BBCA</t>
  </si>
  <si>
    <t>BBRI</t>
  </si>
  <si>
    <t>TLKM</t>
  </si>
  <si>
    <t>ASII</t>
  </si>
  <si>
    <t>UNVR</t>
  </si>
  <si>
    <t>ICBP</t>
  </si>
  <si>
    <t>mu_vol_rendah</t>
  </si>
  <si>
    <t>mu_vol_sedang</t>
  </si>
  <si>
    <t>mu_vol_tinggi</t>
  </si>
  <si>
    <t>mu_volu_rendah</t>
  </si>
  <si>
    <t>mu_volu_sedang</t>
  </si>
  <si>
    <t>mu_volu_tinggi</t>
  </si>
  <si>
    <t>mu_freq_rendah</t>
  </si>
  <si>
    <t>mu_freq_sedang</t>
  </si>
  <si>
    <t>mu_freq_tinggi</t>
  </si>
  <si>
    <t>Kode</t>
  </si>
  <si>
    <t>Rule ID</t>
  </si>
  <si>
    <t>Output</t>
  </si>
  <si>
    <t>μ Vol</t>
  </si>
  <si>
    <t>μ Volu</t>
  </si>
  <si>
    <t>μ Freq</t>
  </si>
  <si>
    <t>Alpha (Min)</t>
  </si>
  <si>
    <t>Z Score</t>
  </si>
  <si>
    <t>Alpha * Z</t>
  </si>
  <si>
    <t>ID</t>
  </si>
  <si>
    <t>R1</t>
  </si>
  <si>
    <t>Medium_Risk</t>
  </si>
  <si>
    <t>R2</t>
  </si>
  <si>
    <t>R3</t>
  </si>
  <si>
    <t>Low_Risk</t>
  </si>
  <si>
    <t>R4</t>
  </si>
  <si>
    <t>R5</t>
  </si>
  <si>
    <t>R6</t>
  </si>
  <si>
    <t>R7</t>
  </si>
  <si>
    <t>R8</t>
  </si>
  <si>
    <t>R9</t>
  </si>
  <si>
    <t>R10</t>
  </si>
  <si>
    <t>High_Risk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</si>
  <si>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</si>
  <si>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</si>
  <si>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</si>
  <si>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</si>
  <si>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</si>
  <si>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</si>
  <si>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</si>
  <si>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</si>
  <si>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</si>
  <si>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</si>
  <si>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</si>
  <si>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</si>
  <si>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</si>
  <si>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</si>
  <si>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</si>
  <si>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</si>
  <si>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</si>
  <si>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Total Alpha</t>
  </si>
  <si>
    <t>Total (Alpha*Z)</t>
  </si>
  <si>
    <t>Skor Akhir</t>
  </si>
  <si>
    <t>Kategori</t>
  </si>
  <si>
    <t>Selisih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</si>
</sst>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1F1F1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left" vertical="center" wrapText="1" indent="1" readingOrder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E10" sqref="E10"/>
    </sheetView>
  </sheetViews>
  <sheetFormatPr defaultRowHeight="14.4" x14ac:dyDescent="0.3"/>
  <cols>
    <col min="1" max="1" width="8.88671875" customWidth="1"/>
    <col min="3" max="3" width="10.88671875" customWidth="1"/>
    <col min="4" max="4" width="10.109375" customWidth="1"/>
    <col min="5" max="5" width="1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0</v>
      </c>
      <c r="D2">
        <v>30</v>
      </c>
      <c r="E2">
        <v>60</v>
      </c>
    </row>
    <row r="3" spans="1:5" x14ac:dyDescent="0.3">
      <c r="A3" t="s">
        <v>5</v>
      </c>
      <c r="B3" t="s">
        <v>7</v>
      </c>
      <c r="C3">
        <v>30</v>
      </c>
      <c r="D3">
        <v>90</v>
      </c>
      <c r="E3">
        <v>120</v>
      </c>
    </row>
    <row r="4" spans="1:5" x14ac:dyDescent="0.3">
      <c r="A4" t="s">
        <v>5</v>
      </c>
      <c r="B4" t="s">
        <v>8</v>
      </c>
      <c r="C4">
        <v>90</v>
      </c>
      <c r="D4">
        <v>150</v>
      </c>
      <c r="E4">
        <v>300</v>
      </c>
    </row>
    <row r="5" spans="1:5" x14ac:dyDescent="0.3">
      <c r="A5" t="s">
        <v>9</v>
      </c>
      <c r="B5" t="s">
        <v>6</v>
      </c>
      <c r="C5">
        <v>0</v>
      </c>
      <c r="D5">
        <v>25000000</v>
      </c>
      <c r="E5">
        <v>50000000</v>
      </c>
    </row>
    <row r="6" spans="1:5" x14ac:dyDescent="0.3">
      <c r="A6" t="s">
        <v>9</v>
      </c>
      <c r="B6" t="s">
        <v>7</v>
      </c>
      <c r="C6">
        <v>30000000</v>
      </c>
      <c r="D6">
        <v>90000000</v>
      </c>
      <c r="E6">
        <v>120000000</v>
      </c>
    </row>
    <row r="7" spans="1:5" x14ac:dyDescent="0.3">
      <c r="A7" t="s">
        <v>9</v>
      </c>
      <c r="B7" t="s">
        <v>8</v>
      </c>
      <c r="C7">
        <v>100000000</v>
      </c>
      <c r="D7">
        <v>150000000</v>
      </c>
      <c r="E7">
        <v>300000000</v>
      </c>
    </row>
    <row r="8" spans="1:5" x14ac:dyDescent="0.3">
      <c r="A8" t="s">
        <v>10</v>
      </c>
      <c r="B8" t="s">
        <v>6</v>
      </c>
      <c r="C8">
        <v>0</v>
      </c>
      <c r="D8">
        <v>5000</v>
      </c>
      <c r="E8">
        <v>10000</v>
      </c>
    </row>
    <row r="9" spans="1:5" x14ac:dyDescent="0.3">
      <c r="A9" t="s">
        <v>10</v>
      </c>
      <c r="B9" t="s">
        <v>7</v>
      </c>
      <c r="C9">
        <v>6000</v>
      </c>
      <c r="D9">
        <v>15000</v>
      </c>
      <c r="E9">
        <v>20000</v>
      </c>
    </row>
    <row r="10" spans="1:5" x14ac:dyDescent="0.3">
      <c r="A10" t="s">
        <v>10</v>
      </c>
      <c r="B10" t="s">
        <v>8</v>
      </c>
      <c r="C10">
        <v>15000</v>
      </c>
      <c r="D10">
        <v>25000</v>
      </c>
      <c r="E10">
        <v>40000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workbookViewId="0">
      <selection activeCell="I12" sqref="I12"/>
    </sheetView>
  </sheetViews>
  <sheetFormatPr defaultRowHeight="14.4" x14ac:dyDescent="0.3"/>
  <cols>
    <col min="2" max="2" width="12.33203125" customWidth="1"/>
    <col min="3" max="3" width="13.77734375" customWidth="1"/>
    <col min="4" max="4" width="12" customWidth="1"/>
    <col min="5" max="5" width="16.77734375" customWidth="1"/>
  </cols>
  <sheetData>
    <row r="1" spans="1:6" x14ac:dyDescent="0.3">
      <c r="A1" s="1" t="s">
        <v>39</v>
      </c>
      <c r="B1" s="1" t="s">
        <v>5</v>
      </c>
      <c r="C1" s="1" t="s">
        <v>9</v>
      </c>
      <c r="D1" s="1" t="s">
        <v>10</v>
      </c>
      <c r="E1" s="1" t="s">
        <v>32</v>
      </c>
      <c r="F1" s="2"/>
    </row>
    <row r="2" spans="1:6" x14ac:dyDescent="0.3">
      <c r="A2" s="1" t="s">
        <v>40</v>
      </c>
      <c r="B2" s="1" t="s">
        <v>6</v>
      </c>
      <c r="C2" s="1" t="s">
        <v>6</v>
      </c>
      <c r="D2" s="1" t="s">
        <v>6</v>
      </c>
      <c r="E2" s="1" t="s">
        <v>41</v>
      </c>
    </row>
    <row r="3" spans="1:6" x14ac:dyDescent="0.3">
      <c r="A3" s="1" t="s">
        <v>42</v>
      </c>
      <c r="B3" s="1" t="s">
        <v>6</v>
      </c>
      <c r="C3" s="1" t="s">
        <v>6</v>
      </c>
      <c r="D3" s="1" t="s">
        <v>7</v>
      </c>
      <c r="E3" s="1" t="s">
        <v>41</v>
      </c>
    </row>
    <row r="4" spans="1:6" x14ac:dyDescent="0.3">
      <c r="A4" s="1" t="s">
        <v>43</v>
      </c>
      <c r="B4" s="1" t="s">
        <v>6</v>
      </c>
      <c r="C4" s="1" t="s">
        <v>6</v>
      </c>
      <c r="D4" s="1" t="s">
        <v>8</v>
      </c>
      <c r="E4" s="1" t="s">
        <v>44</v>
      </c>
    </row>
    <row r="5" spans="1:6" x14ac:dyDescent="0.3">
      <c r="A5" s="1" t="s">
        <v>45</v>
      </c>
      <c r="B5" s="1" t="s">
        <v>6</v>
      </c>
      <c r="C5" s="1" t="s">
        <v>7</v>
      </c>
      <c r="D5" s="1" t="s">
        <v>6</v>
      </c>
      <c r="E5" s="1" t="s">
        <v>41</v>
      </c>
    </row>
    <row r="6" spans="1:6" x14ac:dyDescent="0.3">
      <c r="A6" s="1" t="s">
        <v>46</v>
      </c>
      <c r="B6" s="1" t="s">
        <v>6</v>
      </c>
      <c r="C6" s="1" t="s">
        <v>7</v>
      </c>
      <c r="D6" s="1" t="s">
        <v>7</v>
      </c>
      <c r="E6" s="1" t="s">
        <v>44</v>
      </c>
    </row>
    <row r="7" spans="1:6" x14ac:dyDescent="0.3">
      <c r="A7" s="1" t="s">
        <v>47</v>
      </c>
      <c r="B7" s="1" t="s">
        <v>6</v>
      </c>
      <c r="C7" s="1" t="s">
        <v>7</v>
      </c>
      <c r="D7" s="1" t="s">
        <v>8</v>
      </c>
      <c r="E7" s="1" t="s">
        <v>44</v>
      </c>
    </row>
    <row r="8" spans="1:6" x14ac:dyDescent="0.3">
      <c r="A8" s="1" t="s">
        <v>48</v>
      </c>
      <c r="B8" s="1" t="s">
        <v>6</v>
      </c>
      <c r="C8" s="1" t="s">
        <v>8</v>
      </c>
      <c r="D8" s="1" t="s">
        <v>6</v>
      </c>
      <c r="E8" s="1" t="s">
        <v>44</v>
      </c>
    </row>
    <row r="9" spans="1:6" x14ac:dyDescent="0.3">
      <c r="A9" s="1" t="s">
        <v>49</v>
      </c>
      <c r="B9" s="1" t="s">
        <v>6</v>
      </c>
      <c r="C9" s="1" t="s">
        <v>8</v>
      </c>
      <c r="D9" s="1" t="s">
        <v>7</v>
      </c>
      <c r="E9" s="1" t="s">
        <v>44</v>
      </c>
    </row>
    <row r="10" spans="1:6" x14ac:dyDescent="0.3">
      <c r="A10" s="1" t="s">
        <v>50</v>
      </c>
      <c r="B10" s="1" t="s">
        <v>6</v>
      </c>
      <c r="C10" s="1" t="s">
        <v>8</v>
      </c>
      <c r="D10" s="1" t="s">
        <v>8</v>
      </c>
      <c r="E10" s="1" t="s">
        <v>44</v>
      </c>
    </row>
    <row r="11" spans="1:6" x14ac:dyDescent="0.3">
      <c r="A11" s="1" t="s">
        <v>51</v>
      </c>
      <c r="B11" s="1" t="s">
        <v>7</v>
      </c>
      <c r="C11" s="1" t="s">
        <v>6</v>
      </c>
      <c r="D11" s="1" t="s">
        <v>6</v>
      </c>
      <c r="E11" s="1" t="s">
        <v>52</v>
      </c>
    </row>
    <row r="12" spans="1:6" x14ac:dyDescent="0.3">
      <c r="A12" s="1" t="s">
        <v>53</v>
      </c>
      <c r="B12" s="1" t="s">
        <v>7</v>
      </c>
      <c r="C12" s="1" t="s">
        <v>6</v>
      </c>
      <c r="D12" s="1" t="s">
        <v>7</v>
      </c>
      <c r="E12" s="1" t="s">
        <v>41</v>
      </c>
    </row>
    <row r="13" spans="1:6" x14ac:dyDescent="0.3">
      <c r="A13" s="1" t="s">
        <v>54</v>
      </c>
      <c r="B13" s="1" t="s">
        <v>7</v>
      </c>
      <c r="C13" s="1" t="s">
        <v>6</v>
      </c>
      <c r="D13" s="1" t="s">
        <v>8</v>
      </c>
      <c r="E13" s="1" t="s">
        <v>41</v>
      </c>
    </row>
    <row r="14" spans="1:6" x14ac:dyDescent="0.3">
      <c r="A14" s="1" t="s">
        <v>55</v>
      </c>
      <c r="B14" s="1" t="s">
        <v>7</v>
      </c>
      <c r="C14" s="1" t="s">
        <v>7</v>
      </c>
      <c r="D14" s="1" t="s">
        <v>6</v>
      </c>
      <c r="E14" s="1" t="s">
        <v>41</v>
      </c>
    </row>
    <row r="15" spans="1:6" x14ac:dyDescent="0.3">
      <c r="A15" s="1" t="s">
        <v>56</v>
      </c>
      <c r="B15" s="1" t="s">
        <v>7</v>
      </c>
      <c r="C15" s="1" t="s">
        <v>7</v>
      </c>
      <c r="D15" s="1" t="s">
        <v>7</v>
      </c>
      <c r="E15" s="1" t="s">
        <v>41</v>
      </c>
    </row>
    <row r="16" spans="1:6" x14ac:dyDescent="0.3">
      <c r="A16" s="1" t="s">
        <v>57</v>
      </c>
      <c r="B16" s="1" t="s">
        <v>7</v>
      </c>
      <c r="C16" s="1" t="s">
        <v>7</v>
      </c>
      <c r="D16" s="1" t="s">
        <v>8</v>
      </c>
      <c r="E16" s="1" t="s">
        <v>44</v>
      </c>
    </row>
    <row r="17" spans="1:5" x14ac:dyDescent="0.3">
      <c r="A17" s="1" t="s">
        <v>58</v>
      </c>
      <c r="B17" s="1" t="s">
        <v>7</v>
      </c>
      <c r="C17" s="1" t="s">
        <v>8</v>
      </c>
      <c r="D17" s="1" t="s">
        <v>6</v>
      </c>
      <c r="E17" s="1" t="s">
        <v>41</v>
      </c>
    </row>
    <row r="18" spans="1:5" x14ac:dyDescent="0.3">
      <c r="A18" s="1" t="s">
        <v>59</v>
      </c>
      <c r="B18" s="1" t="s">
        <v>7</v>
      </c>
      <c r="C18" s="1" t="s">
        <v>8</v>
      </c>
      <c r="D18" s="1" t="s">
        <v>7</v>
      </c>
      <c r="E18" s="1" t="s">
        <v>44</v>
      </c>
    </row>
    <row r="19" spans="1:5" x14ac:dyDescent="0.3">
      <c r="A19" s="1" t="s">
        <v>60</v>
      </c>
      <c r="B19" s="1" t="s">
        <v>7</v>
      </c>
      <c r="C19" s="1" t="s">
        <v>8</v>
      </c>
      <c r="D19" s="1" t="s">
        <v>8</v>
      </c>
      <c r="E19" s="1" t="s">
        <v>44</v>
      </c>
    </row>
    <row r="20" spans="1:5" x14ac:dyDescent="0.3">
      <c r="A20" s="1" t="s">
        <v>61</v>
      </c>
      <c r="B20" s="1" t="s">
        <v>8</v>
      </c>
      <c r="C20" s="1" t="s">
        <v>6</v>
      </c>
      <c r="D20" s="1" t="s">
        <v>6</v>
      </c>
      <c r="E20" s="1" t="s">
        <v>52</v>
      </c>
    </row>
    <row r="21" spans="1:5" x14ac:dyDescent="0.3">
      <c r="A21" s="1" t="s">
        <v>62</v>
      </c>
      <c r="B21" s="1" t="s">
        <v>8</v>
      </c>
      <c r="C21" s="1" t="s">
        <v>6</v>
      </c>
      <c r="D21" s="1" t="s">
        <v>7</v>
      </c>
      <c r="E21" s="1" t="s">
        <v>52</v>
      </c>
    </row>
    <row r="22" spans="1:5" x14ac:dyDescent="0.3">
      <c r="A22" s="1" t="s">
        <v>63</v>
      </c>
      <c r="B22" s="1" t="s">
        <v>8</v>
      </c>
      <c r="C22" s="1" t="s">
        <v>6</v>
      </c>
      <c r="D22" s="1" t="s">
        <v>8</v>
      </c>
      <c r="E22" s="1" t="s">
        <v>41</v>
      </c>
    </row>
    <row r="23" spans="1:5" x14ac:dyDescent="0.3">
      <c r="A23" s="1" t="s">
        <v>64</v>
      </c>
      <c r="B23" s="1" t="s">
        <v>8</v>
      </c>
      <c r="C23" s="1" t="s">
        <v>7</v>
      </c>
      <c r="D23" s="1" t="s">
        <v>6</v>
      </c>
      <c r="E23" s="1" t="s">
        <v>52</v>
      </c>
    </row>
    <row r="24" spans="1:5" x14ac:dyDescent="0.3">
      <c r="A24" s="1" t="s">
        <v>65</v>
      </c>
      <c r="B24" s="1" t="s">
        <v>8</v>
      </c>
      <c r="C24" s="1" t="s">
        <v>7</v>
      </c>
      <c r="D24" s="1" t="s">
        <v>7</v>
      </c>
      <c r="E24" s="1" t="s">
        <v>41</v>
      </c>
    </row>
    <row r="25" spans="1:5" x14ac:dyDescent="0.3">
      <c r="A25" s="1" t="s">
        <v>66</v>
      </c>
      <c r="B25" s="1" t="s">
        <v>8</v>
      </c>
      <c r="C25" s="1" t="s">
        <v>7</v>
      </c>
      <c r="D25" s="1" t="s">
        <v>8</v>
      </c>
      <c r="E25" s="1" t="s">
        <v>41</v>
      </c>
    </row>
    <row r="26" spans="1:5" x14ac:dyDescent="0.3">
      <c r="A26" s="1" t="s">
        <v>67</v>
      </c>
      <c r="B26" s="1" t="s">
        <v>8</v>
      </c>
      <c r="C26" s="1" t="s">
        <v>8</v>
      </c>
      <c r="D26" s="1" t="s">
        <v>6</v>
      </c>
      <c r="E26" s="1" t="s">
        <v>41</v>
      </c>
    </row>
    <row r="27" spans="1:5" x14ac:dyDescent="0.3">
      <c r="A27" s="1" t="s">
        <v>68</v>
      </c>
      <c r="B27" s="1" t="s">
        <v>8</v>
      </c>
      <c r="C27" s="1" t="s">
        <v>8</v>
      </c>
      <c r="D27" s="1" t="s">
        <v>7</v>
      </c>
      <c r="E27" s="1" t="s">
        <v>41</v>
      </c>
    </row>
    <row r="28" spans="1:5" x14ac:dyDescent="0.3">
      <c r="A28" s="1" t="s">
        <v>69</v>
      </c>
      <c r="B28" s="1" t="s">
        <v>8</v>
      </c>
      <c r="C28" s="1" t="s">
        <v>8</v>
      </c>
      <c r="D28" s="1" t="s">
        <v>8</v>
      </c>
      <c r="E28" s="1" t="s">
        <v>44</v>
      </c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"/>
  <sheetViews>
    <sheetView workbookViewId="0">
      <selection activeCell="F12" sqref="F12"/>
    </sheetView>
  </sheetViews>
  <sheetFormatPr defaultRowHeight="14.4" x14ac:dyDescent="0.3"/>
  <cols>
    <col min="3" max="3" width="10" bestFit="1" customWidth="1"/>
  </cols>
  <sheetData>
    <row r="1" spans="1:4" x14ac:dyDescent="0.3">
      <c r="A1" t="s">
        <v>30</v>
      </c>
      <c r="B1" t="s">
        <v>74</v>
      </c>
      <c r="C1" t="s">
        <v>9</v>
      </c>
      <c r="D1" t="s">
        <v>10</v>
      </c>
    </row>
    <row r="2" spans="1:4" x14ac:dyDescent="0.3">
      <c r="A2" t="s">
        <v>15</v>
      </c>
      <c r="B2">
        <v>100</v>
      </c>
      <c r="C2">
        <v>164697500</v>
      </c>
      <c r="D2">
        <v>29510</v>
      </c>
    </row>
    <row r="3" spans="1:4" x14ac:dyDescent="0.3">
      <c r="A3" t="s">
        <v>16</v>
      </c>
      <c r="B3">
        <v>0</v>
      </c>
      <c r="C3">
        <v>226832200</v>
      </c>
      <c r="D3">
        <v>28803</v>
      </c>
    </row>
    <row r="4" spans="1:4" x14ac:dyDescent="0.3">
      <c r="A4" t="s">
        <v>17</v>
      </c>
      <c r="B4">
        <v>50</v>
      </c>
      <c r="C4">
        <v>96333300</v>
      </c>
      <c r="D4">
        <v>9425</v>
      </c>
    </row>
    <row r="5" spans="1:4" x14ac:dyDescent="0.3">
      <c r="A5" t="s">
        <v>18</v>
      </c>
      <c r="B5">
        <v>0</v>
      </c>
      <c r="C5">
        <v>46038900</v>
      </c>
      <c r="D5">
        <v>13608</v>
      </c>
    </row>
    <row r="6" spans="1:4" x14ac:dyDescent="0.3">
      <c r="A6" t="s">
        <v>19</v>
      </c>
      <c r="B6">
        <v>35</v>
      </c>
      <c r="C6">
        <v>50952000</v>
      </c>
      <c r="D6">
        <v>9231</v>
      </c>
    </row>
    <row r="7" spans="1:4" x14ac:dyDescent="0.3">
      <c r="A7" t="s">
        <v>20</v>
      </c>
      <c r="B7">
        <v>100</v>
      </c>
      <c r="C7">
        <v>2335600</v>
      </c>
      <c r="D7">
        <v>2079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7"/>
  <sheetViews>
    <sheetView tabSelected="1" workbookViewId="0">
      <selection activeCell="F10" sqref="F10"/>
    </sheetView>
  </sheetViews>
  <sheetFormatPr defaultRowHeight="14.4" x14ac:dyDescent="0.3"/>
  <cols>
    <col min="2" max="13" width="18.109375" customWidth="1"/>
  </cols>
  <sheetData>
    <row r="1" spans="1:13" x14ac:dyDescent="0.3">
      <c r="A1" t="s">
        <v>11</v>
      </c>
      <c r="B1" t="s">
        <v>12</v>
      </c>
      <c r="C1" t="s">
        <v>21</v>
      </c>
      <c r="D1" t="s">
        <v>22</v>
      </c>
      <c r="E1" t="s">
        <v>23</v>
      </c>
      <c r="F1" t="s">
        <v>13</v>
      </c>
      <c r="G1" t="s">
        <v>24</v>
      </c>
      <c r="H1" t="s">
        <v>25</v>
      </c>
      <c r="I1" t="s">
        <v>26</v>
      </c>
      <c r="J1" t="s">
        <v>14</v>
      </c>
      <c r="K1" t="s">
        <v>27</v>
      </c>
      <c r="L1" t="s">
        <v>28</v>
      </c>
      <c r="M1" t="s">
        <v>29</v>
      </c>
    </row>
    <row r="2" spans="1:13" x14ac:dyDescent="0.3">
      <c r="A2" t="str">
        <f>data_input!A2</f>
        <v>BBCA</v>
      </c>
      <c r="B2">
        <f>data_input!B2</f>
        <v>100</v>
      </c>
      <c r="C2">
        <f>IF(B2&gt;=60,0,IF(B2&lt;=30,1,(60-B2)/30))</f>
        <v>0</v>
      </c>
      <c r="D2">
        <f>IF(OR(B2&lt;=30,B2&gt;=120),0,IF(B2&lt;=60,(B2-30)/30,IF(B2&lt;=90,1,(120-B2)/30)))</f>
        <v>0.66666666666666663</v>
      </c>
      <c r="E2">
        <f>IF(B2&lt;=90,0,IF(B2&gt;=150,1,(B2-90)/60))</f>
        <v>0.16666666666666666</v>
      </c>
      <c r="F2">
        <f>data_input!C2</f>
        <v>164697500</v>
      </c>
      <c r="G2">
        <f>IF(F2&gt;=50000000,0,IF(F2&lt;=25000000,1,(50000000-F2)/25000000))</f>
        <v>0</v>
      </c>
      <c r="H2">
        <f>IF(OR(F2&lt;=30000000,F2&gt;=120000000),0,IF(F2&lt;=60000000,(F2-30000000)/30000000,IF(F2&lt;=90000000,1,(120000000-F2)/30000000)))</f>
        <v>0</v>
      </c>
      <c r="I2">
        <f>IF(F2&lt;=100000000,0,IF(F2&gt;=150000000,1,(F2-100000000)/50000000))</f>
        <v>1</v>
      </c>
      <c r="J2">
        <f>data_input!D2</f>
        <v>29510</v>
      </c>
      <c r="K2">
        <f>IF(J2&gt;=10000,0,IF(J2&lt;=5000,1,(10000-J2)/5000))</f>
        <v>0</v>
      </c>
      <c r="L2">
        <f>IF(OR(J2&lt;=6000,J2&gt;=20000),0,IF(J2&lt;=10000,(J2-6000)/4000,IF(J2&lt;=15000,1,(20000-J2)/5000)))</f>
        <v>0</v>
      </c>
      <c r="M2">
        <f>IF(J2&lt;=15000,0,IF(J2&gt;=25000,1,(J2-15000)/10000))</f>
        <v>1</v>
      </c>
    </row>
    <row r="3" spans="1:13" x14ac:dyDescent="0.3">
      <c r="A3" t="str">
        <f>data_input!A3</f>
        <v>BBRI</v>
      </c>
      <c r="B3">
        <f>data_input!B3</f>
        <v>0</v>
      </c>
      <c r="C3">
        <f t="shared" ref="C3:C7" si="0">IF(B3&gt;=60,0,IF(B3&lt;=30,1,(60-B3)/30))</f>
        <v>1</v>
      </c>
      <c r="D3">
        <f t="shared" ref="D3:D7" si="1">IF(OR(B3&lt;=30,B3&gt;=120),0,IF(B3&lt;=60,(B3-30)/30,IF(B3&lt;=90,1,(120-B3)/30)))</f>
        <v>0</v>
      </c>
      <c r="E3">
        <f t="shared" ref="E3:E7" si="2">IF(B3&lt;=90,0,IF(B3&gt;=150,1,(B3-90)/60))</f>
        <v>0</v>
      </c>
      <c r="F3">
        <f>data_input!C3</f>
        <v>226832200</v>
      </c>
      <c r="G3">
        <f t="shared" ref="G3:G7" si="3">IF(F3&gt;=50000000,0,IF(F3&lt;=25000000,1,(50000000-F3)/25000000))</f>
        <v>0</v>
      </c>
      <c r="H3">
        <f t="shared" ref="H3:H7" si="4">IF(OR(F3&lt;=30000000,F3&gt;=120000000),0,IF(F3&lt;=60000000,(F3-30000000)/30000000,IF(F3&lt;=90000000,1,(120000000-F3)/30000000)))</f>
        <v>0</v>
      </c>
      <c r="I3">
        <f t="shared" ref="I3:I7" si="5">IF(F3&lt;=100000000,0,IF(F3&gt;=150000000,1,(F3-100000000)/50000000))</f>
        <v>1</v>
      </c>
      <c r="J3">
        <f>data_input!D3</f>
        <v>28803</v>
      </c>
      <c r="K3">
        <f t="shared" ref="K3:K7" si="6">IF(J3&gt;=10000,0,IF(J3&lt;=5000,1,(10000-J3)/5000))</f>
        <v>0</v>
      </c>
      <c r="L3">
        <f t="shared" ref="L3:L7" si="7">IF(OR(J3&lt;=6000,J3&gt;=20000),0,IF(J3&lt;=10000,(J3-6000)/4000,IF(J3&lt;=15000,1,(20000-J3)/5000)))</f>
        <v>0</v>
      </c>
      <c r="M3">
        <f t="shared" ref="M3:M7" si="8">IF(J3&lt;=15000,0,IF(J3&gt;=25000,1,(J3-15000)/10000))</f>
        <v>1</v>
      </c>
    </row>
    <row r="4" spans="1:13" x14ac:dyDescent="0.3">
      <c r="A4" t="str">
        <f>data_input!A4</f>
        <v>TLKM</v>
      </c>
      <c r="B4">
        <f>data_input!B4</f>
        <v>50</v>
      </c>
      <c r="C4">
        <f t="shared" si="0"/>
        <v>0.33333333333333331</v>
      </c>
      <c r="D4">
        <f t="shared" si="1"/>
        <v>0.66666666666666663</v>
      </c>
      <c r="E4">
        <f t="shared" si="2"/>
        <v>0</v>
      </c>
      <c r="F4">
        <f>data_input!C4</f>
        <v>96333300</v>
      </c>
      <c r="G4">
        <f t="shared" si="3"/>
        <v>0</v>
      </c>
      <c r="H4">
        <f t="shared" si="4"/>
        <v>0.78888999999999998</v>
      </c>
      <c r="I4">
        <f t="shared" si="5"/>
        <v>0</v>
      </c>
      <c r="J4">
        <f>data_input!D4</f>
        <v>9425</v>
      </c>
      <c r="K4">
        <f t="shared" si="6"/>
        <v>0.115</v>
      </c>
      <c r="L4">
        <f t="shared" si="7"/>
        <v>0.85624999999999996</v>
      </c>
      <c r="M4">
        <f t="shared" si="8"/>
        <v>0</v>
      </c>
    </row>
    <row r="5" spans="1:13" x14ac:dyDescent="0.3">
      <c r="A5" t="str">
        <f>data_input!A5</f>
        <v>ASII</v>
      </c>
      <c r="B5">
        <f>data_input!B5</f>
        <v>0</v>
      </c>
      <c r="C5">
        <f t="shared" si="0"/>
        <v>1</v>
      </c>
      <c r="D5">
        <f t="shared" si="1"/>
        <v>0</v>
      </c>
      <c r="E5">
        <f t="shared" si="2"/>
        <v>0</v>
      </c>
      <c r="F5">
        <f>data_input!C5</f>
        <v>46038900</v>
      </c>
      <c r="G5">
        <f t="shared" si="3"/>
        <v>0.158444</v>
      </c>
      <c r="H5">
        <f t="shared" si="4"/>
        <v>0.53463000000000005</v>
      </c>
      <c r="I5">
        <f t="shared" si="5"/>
        <v>0</v>
      </c>
      <c r="J5">
        <f>data_input!D5</f>
        <v>13608</v>
      </c>
      <c r="K5">
        <f t="shared" si="6"/>
        <v>0</v>
      </c>
      <c r="L5">
        <f t="shared" si="7"/>
        <v>1</v>
      </c>
      <c r="M5">
        <f t="shared" si="8"/>
        <v>0</v>
      </c>
    </row>
    <row r="6" spans="1:13" x14ac:dyDescent="0.3">
      <c r="A6" t="str">
        <f>data_input!A6</f>
        <v>UNVR</v>
      </c>
      <c r="B6">
        <f>data_input!B6</f>
        <v>35</v>
      </c>
      <c r="C6">
        <f t="shared" si="0"/>
        <v>0.83333333333333337</v>
      </c>
      <c r="D6">
        <f t="shared" si="1"/>
        <v>0.16666666666666666</v>
      </c>
      <c r="E6">
        <f t="shared" si="2"/>
        <v>0</v>
      </c>
      <c r="F6">
        <f>data_input!C6</f>
        <v>50952000</v>
      </c>
      <c r="G6">
        <f t="shared" si="3"/>
        <v>0</v>
      </c>
      <c r="H6">
        <f t="shared" si="4"/>
        <v>0.69840000000000002</v>
      </c>
      <c r="I6">
        <f t="shared" si="5"/>
        <v>0</v>
      </c>
      <c r="J6">
        <f>data_input!D6</f>
        <v>9231</v>
      </c>
      <c r="K6">
        <f t="shared" si="6"/>
        <v>0.15379999999999999</v>
      </c>
      <c r="L6">
        <f t="shared" si="7"/>
        <v>0.80774999999999997</v>
      </c>
      <c r="M6">
        <f t="shared" si="8"/>
        <v>0</v>
      </c>
    </row>
    <row r="7" spans="1:13" x14ac:dyDescent="0.3">
      <c r="A7" t="str">
        <f>data_input!A7</f>
        <v>ICBP</v>
      </c>
      <c r="B7">
        <f>data_input!B7</f>
        <v>100</v>
      </c>
      <c r="C7">
        <f t="shared" si="0"/>
        <v>0</v>
      </c>
      <c r="D7">
        <f t="shared" si="1"/>
        <v>0.66666666666666663</v>
      </c>
      <c r="E7">
        <f t="shared" si="2"/>
        <v>0.16666666666666666</v>
      </c>
      <c r="F7">
        <f>data_input!C7</f>
        <v>2335600</v>
      </c>
      <c r="G7">
        <f t="shared" si="3"/>
        <v>1</v>
      </c>
      <c r="H7">
        <f t="shared" si="4"/>
        <v>0</v>
      </c>
      <c r="I7">
        <f t="shared" si="5"/>
        <v>0</v>
      </c>
      <c r="J7">
        <f>data_input!D7</f>
        <v>2079</v>
      </c>
      <c r="K7">
        <f t="shared" si="6"/>
        <v>1</v>
      </c>
      <c r="L7">
        <f t="shared" si="7"/>
        <v>0</v>
      </c>
      <c r="M7">
        <f t="shared" si="8"/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D6FD5-F2D0-4C44-AC6E-04AA38328888}">
  <dimension ref="A1:I168"/>
  <sheetViews>
    <sheetView workbookViewId="0">
      <selection activeCell="L5" sqref="L5"/>
    </sheetView>
  </sheetViews>
  <sheetFormatPr defaultRowHeight="14.4" x14ac:dyDescent="0.3"/>
  <cols>
    <col min="3" max="3" width="13.5546875" customWidth="1"/>
    <col min="7" max="7" width="11.77734375" customWidth="1"/>
  </cols>
  <sheetData>
    <row r="1" spans="1:9" x14ac:dyDescent="0.3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</row>
    <row r="2" spans="1:9" x14ac:dyDescent="0.3">
      <c r="A2" t="s">
        <v>15</v>
      </c>
      <c r="B2" s="1" t="s">
        <v>40</v>
      </c>
      <c r="C2" s="1" t="s">
        <v>41</v>
      </c>
      <c r="D2">
        <f>IF(VLOOKUP(B2,'aturan_fuzzy (rule)'!$A$2:$E$28,2,FALSE)="Rendah",VLOOKUP(A2,fuzzifikasi!$A:$M,3,FALSE),IF(VLOOKUP(B2,'aturan_fuzzy (rule)'!$A$2:$E$28,2,FALSE)="Sedang",VLOOKUP(A2,fuzzifikasi!$A:$M,4,FALSE),VLOOKUP(A2,fuzzifikasi!$A:$M,5,FALSE)))</f>
        <v>0</v>
      </c>
      <c r="E2">
        <f>IF(VLOOKUP(B2,'aturan_fuzzy (rule)'!$A$2:$E$28,3,FALSE)="Rendah",VLOOKUP(A2,fuzzifikasi!$A:$M,7,FALSE),IF(VLOOKUP(B2,'aturan_fuzzy (rule)'!$A$2:$E$28,3,FALSE)="Sedang",VLOOKUP(A2,fuzzifikasi!$A:$M,8,FALSE),VLOOKUP(A2,fuzzifikasi!$A:$M,9,FALSE)))</f>
        <v>0</v>
      </c>
      <c r="F2">
        <f>IF(VLOOKUP(B2,'aturan_fuzzy (rule)'!$A$2:$E$28,4,FALSE)="Rendah",VLOOKUP(A2,fuzzifikasi!$A:$M,11,FALSE),IF(VLOOKUP(B2,'aturan_fuzzy (rule)'!$A$2:$E$28,4,FALSE)="Sedang",VLOOKUP(A2,fuzzifikasi!$A:$M,12,FALSE),VLOOKUP(A2,fuzzifikasi!$A:$M,13,FALSE)))</f>
        <v>0</v>
      </c>
      <c r="G2">
        <f>MIN(D2, E2, F2)</f>
        <v>0</v>
      </c>
      <c r="H2">
        <f>IF(C2="Low_Risk", 70+(G2*30), IF(C2="Medium_Risk", 40+(G2*30), 40-(G2*40)))</f>
        <v>40</v>
      </c>
      <c r="I2">
        <f>G2*H2</f>
        <v>0</v>
      </c>
    </row>
    <row r="3" spans="1:9" x14ac:dyDescent="0.3">
      <c r="A3" t="s">
        <v>15</v>
      </c>
      <c r="B3" s="1" t="s">
        <v>42</v>
      </c>
      <c r="C3" s="1" t="s">
        <v>41</v>
      </c>
      <c r="D3">
        <f>IF(VLOOKUP(B3,'aturan_fuzzy (rule)'!$A$2:$E$28,2,FALSE)="Rendah",VLOOKUP(A3,fuzzifikasi!$A:$M,3,FALSE),IF(VLOOKUP(B3,'aturan_fuzzy (rule)'!$A$2:$E$28,2,FALSE)="Sedang",VLOOKUP(A3,fuzzifikasi!$A:$M,4,FALSE),VLOOKUP(A3,fuzzifikasi!$A:$M,5,FALSE)))</f>
        <v>0</v>
      </c>
      <c r="E3">
        <f>IF(VLOOKUP(B3,'aturan_fuzzy (rule)'!$A$2:$E$28,3,FALSE)="Rendah",VLOOKUP(A3,fuzzifikasi!$A:$M,7,FALSE),IF(VLOOKUP(B3,'aturan_fuzzy (rule)'!$A$2:$E$28,3,FALSE)="Sedang",VLOOKUP(A3,fuzzifikasi!$A:$M,8,FALSE),VLOOKUP(A3,fuzzifikasi!$A:$M,9,FALSE)))</f>
        <v>0</v>
      </c>
      <c r="F3">
        <f>IF(VLOOKUP(B3,'aturan_fuzzy (rule)'!$A$2:$E$28,4,FALSE)="Rendah",VLOOKUP(A3,fuzzifikasi!$A:$M,11,FALSE),IF(VLOOKUP(B3,'aturan_fuzzy (rule)'!$A$2:$E$28,4,FALSE)="Sedang",VLOOKUP(A3,fuzzifikasi!$A:$M,12,FALSE),VLOOKUP(A3,fuzzifikasi!$A:$M,13,FALSE)))</f>
        <v>0</v>
      </c>
      <c r="G3">
        <f t="shared" ref="G3:G66" si="0">MIN(D3, E3, F3)</f>
        <v>0</v>
      </c>
      <c r="H3">
        <f t="shared" ref="H3:H66" si="1">IF(C3="Low_Risk", 70+(G3*30), IF(C3="Medium_Risk", 40+(G3*30), 40-(G3*40)))</f>
        <v>40</v>
      </c>
      <c r="I3">
        <f t="shared" ref="I3:I66" si="2">G3*H3</f>
        <v>0</v>
      </c>
    </row>
    <row r="4" spans="1:9" x14ac:dyDescent="0.3">
      <c r="A4" t="s">
        <v>15</v>
      </c>
      <c r="B4" s="1" t="s">
        <v>43</v>
      </c>
      <c r="C4" s="1" t="s">
        <v>44</v>
      </c>
      <c r="D4">
        <f>IF(VLOOKUP(B4,'aturan_fuzzy (rule)'!$A$2:$E$28,2,FALSE)="Rendah",VLOOKUP(A4,fuzzifikasi!$A:$M,3,FALSE),IF(VLOOKUP(B4,'aturan_fuzzy (rule)'!$A$2:$E$28,2,FALSE)="Sedang",VLOOKUP(A4,fuzzifikasi!$A:$M,4,FALSE),VLOOKUP(A4,fuzzifikasi!$A:$M,5,FALSE)))</f>
        <v>0</v>
      </c>
      <c r="E4">
        <f>IF(VLOOKUP(B4,'aturan_fuzzy (rule)'!$A$2:$E$28,3,FALSE)="Rendah",VLOOKUP(A4,fuzzifikasi!$A:$M,7,FALSE),IF(VLOOKUP(B4,'aturan_fuzzy (rule)'!$A$2:$E$28,3,FALSE)="Sedang",VLOOKUP(A4,fuzzifikasi!$A:$M,8,FALSE),VLOOKUP(A4,fuzzifikasi!$A:$M,9,FALSE)))</f>
        <v>0</v>
      </c>
      <c r="F4">
        <f>IF(VLOOKUP(B4,'aturan_fuzzy (rule)'!$A$2:$E$28,4,FALSE)="Rendah",VLOOKUP(A4,fuzzifikasi!$A:$M,11,FALSE),IF(VLOOKUP(B4,'aturan_fuzzy (rule)'!$A$2:$E$28,4,FALSE)="Sedang",VLOOKUP(A4,fuzzifikasi!$A:$M,12,FALSE),VLOOKUP(A4,fuzzifikasi!$A:$M,13,FALSE)))</f>
        <v>1</v>
      </c>
      <c r="G4">
        <f t="shared" si="0"/>
        <v>0</v>
      </c>
      <c r="H4">
        <f t="shared" si="1"/>
        <v>70</v>
      </c>
      <c r="I4">
        <f t="shared" si="2"/>
        <v>0</v>
      </c>
    </row>
    <row r="5" spans="1:9" x14ac:dyDescent="0.3">
      <c r="A5" t="s">
        <v>15</v>
      </c>
      <c r="B5" s="1" t="s">
        <v>45</v>
      </c>
      <c r="C5" s="1" t="s">
        <v>41</v>
      </c>
      <c r="D5">
        <f>IF(VLOOKUP(B5,'aturan_fuzzy (rule)'!$A$2:$E$28,2,FALSE)="Rendah",VLOOKUP(A5,fuzzifikasi!$A:$M,3,FALSE),IF(VLOOKUP(B5,'aturan_fuzzy (rule)'!$A$2:$E$28,2,FALSE)="Sedang",VLOOKUP(A5,fuzzifikasi!$A:$M,4,FALSE),VLOOKUP(A5,fuzzifikasi!$A:$M,5,FALSE)))</f>
        <v>0</v>
      </c>
      <c r="E5">
        <f>IF(VLOOKUP(B5,'aturan_fuzzy (rule)'!$A$2:$E$28,3,FALSE)="Rendah",VLOOKUP(A5,fuzzifikasi!$A:$M,7,FALSE),IF(VLOOKUP(B5,'aturan_fuzzy (rule)'!$A$2:$E$28,3,FALSE)="Sedang",VLOOKUP(A5,fuzzifikasi!$A:$M,8,FALSE),VLOOKUP(A5,fuzzifikasi!$A:$M,9,FALSE)))</f>
        <v>0</v>
      </c>
      <c r="F5">
        <f>IF(VLOOKUP(B5,'aturan_fuzzy (rule)'!$A$2:$E$28,4,FALSE)="Rendah",VLOOKUP(A5,fuzzifikasi!$A:$M,11,FALSE),IF(VLOOKUP(B5,'aturan_fuzzy (rule)'!$A$2:$E$28,4,FALSE)="Sedang",VLOOKUP(A5,fuzzifikasi!$A:$M,12,FALSE),VLOOKUP(A5,fuzzifikasi!$A:$M,13,FALSE)))</f>
        <v>0</v>
      </c>
      <c r="G5">
        <f t="shared" si="0"/>
        <v>0</v>
      </c>
      <c r="H5">
        <f t="shared" si="1"/>
        <v>40</v>
      </c>
      <c r="I5">
        <f t="shared" si="2"/>
        <v>0</v>
      </c>
    </row>
    <row r="6" spans="1:9" x14ac:dyDescent="0.3">
      <c r="A6" t="s">
        <v>15</v>
      </c>
      <c r="B6" s="1" t="s">
        <v>46</v>
      </c>
      <c r="C6" s="1" t="s">
        <v>44</v>
      </c>
      <c r="D6">
        <f>IF(VLOOKUP(B6,'aturan_fuzzy (rule)'!$A$2:$E$28,2,FALSE)="Rendah",VLOOKUP(A6,fuzzifikasi!$A:$M,3,FALSE),IF(VLOOKUP(B6,'aturan_fuzzy (rule)'!$A$2:$E$28,2,FALSE)="Sedang",VLOOKUP(A6,fuzzifikasi!$A:$M,4,FALSE),VLOOKUP(A6,fuzzifikasi!$A:$M,5,FALSE)))</f>
        <v>0</v>
      </c>
      <c r="E6">
        <f>IF(VLOOKUP(B6,'aturan_fuzzy (rule)'!$A$2:$E$28,3,FALSE)="Rendah",VLOOKUP(A6,fuzzifikasi!$A:$M,7,FALSE),IF(VLOOKUP(B6,'aturan_fuzzy (rule)'!$A$2:$E$28,3,FALSE)="Sedang",VLOOKUP(A6,fuzzifikasi!$A:$M,8,FALSE),VLOOKUP(A6,fuzzifikasi!$A:$M,9,FALSE)))</f>
        <v>0</v>
      </c>
      <c r="F6">
        <f>IF(VLOOKUP(B6,'aturan_fuzzy (rule)'!$A$2:$E$28,4,FALSE)="Rendah",VLOOKUP(A6,fuzzifikasi!$A:$M,11,FALSE),IF(VLOOKUP(B6,'aturan_fuzzy (rule)'!$A$2:$E$28,4,FALSE)="Sedang",VLOOKUP(A6,fuzzifikasi!$A:$M,12,FALSE),VLOOKUP(A6,fuzzifikasi!$A:$M,13,FALSE)))</f>
        <v>0</v>
      </c>
      <c r="G6">
        <f t="shared" si="0"/>
        <v>0</v>
      </c>
      <c r="H6">
        <f t="shared" si="1"/>
        <v>70</v>
      </c>
      <c r="I6">
        <f t="shared" si="2"/>
        <v>0</v>
      </c>
    </row>
    <row r="7" spans="1:9" x14ac:dyDescent="0.3">
      <c r="A7" t="s">
        <v>15</v>
      </c>
      <c r="B7" s="1" t="s">
        <v>47</v>
      </c>
      <c r="C7" s="1" t="s">
        <v>44</v>
      </c>
      <c r="D7">
        <f>IF(VLOOKUP(B7,'aturan_fuzzy (rule)'!$A$2:$E$28,2,FALSE)="Rendah",VLOOKUP(A7,fuzzifikasi!$A:$M,3,FALSE),IF(VLOOKUP(B7,'aturan_fuzzy (rule)'!$A$2:$E$28,2,FALSE)="Sedang",VLOOKUP(A7,fuzzifikasi!$A:$M,4,FALSE),VLOOKUP(A7,fuzzifikasi!$A:$M,5,FALSE)))</f>
        <v>0</v>
      </c>
      <c r="E7">
        <f>IF(VLOOKUP(B7,'aturan_fuzzy (rule)'!$A$2:$E$28,3,FALSE)="Rendah",VLOOKUP(A7,fuzzifikasi!$A:$M,7,FALSE),IF(VLOOKUP(B7,'aturan_fuzzy (rule)'!$A$2:$E$28,3,FALSE)="Sedang",VLOOKUP(A7,fuzzifikasi!$A:$M,8,FALSE),VLOOKUP(A7,fuzzifikasi!$A:$M,9,FALSE)))</f>
        <v>0</v>
      </c>
      <c r="F7">
        <f>IF(VLOOKUP(B7,'aturan_fuzzy (rule)'!$A$2:$E$28,4,FALSE)="Rendah",VLOOKUP(A7,fuzzifikasi!$A:$M,11,FALSE),IF(VLOOKUP(B7,'aturan_fuzzy (rule)'!$A$2:$E$28,4,FALSE)="Sedang",VLOOKUP(A7,fuzzifikasi!$A:$M,12,FALSE),VLOOKUP(A7,fuzzifikasi!$A:$M,13,FALSE)))</f>
        <v>1</v>
      </c>
      <c r="G7">
        <f t="shared" si="0"/>
        <v>0</v>
      </c>
      <c r="H7">
        <f t="shared" si="1"/>
        <v>70</v>
      </c>
      <c r="I7">
        <f t="shared" si="2"/>
        <v>0</v>
      </c>
    </row>
    <row r="8" spans="1:9" x14ac:dyDescent="0.3">
      <c r="A8" t="s">
        <v>15</v>
      </c>
      <c r="B8" s="1" t="s">
        <v>48</v>
      </c>
      <c r="C8" s="1" t="s">
        <v>44</v>
      </c>
      <c r="D8">
        <f>IF(VLOOKUP(B8,'aturan_fuzzy (rule)'!$A$2:$E$28,2,FALSE)="Rendah",VLOOKUP(A8,fuzzifikasi!$A:$M,3,FALSE),IF(VLOOKUP(B8,'aturan_fuzzy (rule)'!$A$2:$E$28,2,FALSE)="Sedang",VLOOKUP(A8,fuzzifikasi!$A:$M,4,FALSE),VLOOKUP(A8,fuzzifikasi!$A:$M,5,FALSE)))</f>
        <v>0</v>
      </c>
      <c r="E8">
        <f>IF(VLOOKUP(B8,'aturan_fuzzy (rule)'!$A$2:$E$28,3,FALSE)="Rendah",VLOOKUP(A8,fuzzifikasi!$A:$M,7,FALSE),IF(VLOOKUP(B8,'aturan_fuzzy (rule)'!$A$2:$E$28,3,FALSE)="Sedang",VLOOKUP(A8,fuzzifikasi!$A:$M,8,FALSE),VLOOKUP(A8,fuzzifikasi!$A:$M,9,FALSE)))</f>
        <v>1</v>
      </c>
      <c r="F8">
        <f>IF(VLOOKUP(B8,'aturan_fuzzy (rule)'!$A$2:$E$28,4,FALSE)="Rendah",VLOOKUP(A8,fuzzifikasi!$A:$M,11,FALSE),IF(VLOOKUP(B8,'aturan_fuzzy (rule)'!$A$2:$E$28,4,FALSE)="Sedang",VLOOKUP(A8,fuzzifikasi!$A:$M,12,FALSE),VLOOKUP(A8,fuzzifikasi!$A:$M,13,FALSE)))</f>
        <v>0</v>
      </c>
      <c r="G8">
        <f t="shared" si="0"/>
        <v>0</v>
      </c>
      <c r="H8">
        <f t="shared" si="1"/>
        <v>70</v>
      </c>
      <c r="I8">
        <f t="shared" si="2"/>
        <v>0</v>
      </c>
    </row>
    <row r="9" spans="1:9" x14ac:dyDescent="0.3">
      <c r="A9" t="s">
        <v>15</v>
      </c>
      <c r="B9" s="1" t="s">
        <v>49</v>
      </c>
      <c r="C9" s="1" t="s">
        <v>44</v>
      </c>
      <c r="D9">
        <f>IF(VLOOKUP(B9,'aturan_fuzzy (rule)'!$A$2:$E$28,2,FALSE)="Rendah",VLOOKUP(A9,fuzzifikasi!$A:$M,3,FALSE),IF(VLOOKUP(B9,'aturan_fuzzy (rule)'!$A$2:$E$28,2,FALSE)="Sedang",VLOOKUP(A9,fuzzifikasi!$A:$M,4,FALSE),VLOOKUP(A9,fuzzifikasi!$A:$M,5,FALSE)))</f>
        <v>0</v>
      </c>
      <c r="E9">
        <f>IF(VLOOKUP(B9,'aturan_fuzzy (rule)'!$A$2:$E$28,3,FALSE)="Rendah",VLOOKUP(A9,fuzzifikasi!$A:$M,7,FALSE),IF(VLOOKUP(B9,'aturan_fuzzy (rule)'!$A$2:$E$28,3,FALSE)="Sedang",VLOOKUP(A9,fuzzifikasi!$A:$M,8,FALSE),VLOOKUP(A9,fuzzifikasi!$A:$M,9,FALSE)))</f>
        <v>1</v>
      </c>
      <c r="F9">
        <f>IF(VLOOKUP(B9,'aturan_fuzzy (rule)'!$A$2:$E$28,4,FALSE)="Rendah",VLOOKUP(A9,fuzzifikasi!$A:$M,11,FALSE),IF(VLOOKUP(B9,'aturan_fuzzy (rule)'!$A$2:$E$28,4,FALSE)="Sedang",VLOOKUP(A9,fuzzifikasi!$A:$M,12,FALSE),VLOOKUP(A9,fuzzifikasi!$A:$M,13,FALSE)))</f>
        <v>0</v>
      </c>
      <c r="G9">
        <f t="shared" si="0"/>
        <v>0</v>
      </c>
      <c r="H9">
        <f t="shared" si="1"/>
        <v>70</v>
      </c>
      <c r="I9">
        <f t="shared" si="2"/>
        <v>0</v>
      </c>
    </row>
    <row r="10" spans="1:9" x14ac:dyDescent="0.3">
      <c r="A10" t="s">
        <v>15</v>
      </c>
      <c r="B10" s="1" t="s">
        <v>50</v>
      </c>
      <c r="C10" s="1" t="s">
        <v>44</v>
      </c>
      <c r="D10">
        <f>IF(VLOOKUP(B10,'aturan_fuzzy (rule)'!$A$2:$E$28,2,FALSE)="Rendah",VLOOKUP(A10,fuzzifikasi!$A:$M,3,FALSE),IF(VLOOKUP(B10,'aturan_fuzzy (rule)'!$A$2:$E$28,2,FALSE)="Sedang",VLOOKUP(A10,fuzzifikasi!$A:$M,4,FALSE),VLOOKUP(A10,fuzzifikasi!$A:$M,5,FALSE)))</f>
        <v>0</v>
      </c>
      <c r="E10">
        <f>IF(VLOOKUP(B10,'aturan_fuzzy (rule)'!$A$2:$E$28,3,FALSE)="Rendah",VLOOKUP(A10,fuzzifikasi!$A:$M,7,FALSE),IF(VLOOKUP(B10,'aturan_fuzzy (rule)'!$A$2:$E$28,3,FALSE)="Sedang",VLOOKUP(A10,fuzzifikasi!$A:$M,8,FALSE),VLOOKUP(A10,fuzzifikasi!$A:$M,9,FALSE)))</f>
        <v>1</v>
      </c>
      <c r="F10">
        <f>IF(VLOOKUP(B10,'aturan_fuzzy (rule)'!$A$2:$E$28,4,FALSE)="Rendah",VLOOKUP(A10,fuzzifikasi!$A:$M,11,FALSE),IF(VLOOKUP(B10,'aturan_fuzzy (rule)'!$A$2:$E$28,4,FALSE)="Sedang",VLOOKUP(A10,fuzzifikasi!$A:$M,12,FALSE),VLOOKUP(A10,fuzzifikasi!$A:$M,13,FALSE)))</f>
        <v>1</v>
      </c>
      <c r="G10">
        <f t="shared" si="0"/>
        <v>0</v>
      </c>
      <c r="H10">
        <f t="shared" si="1"/>
        <v>70</v>
      </c>
      <c r="I10">
        <f t="shared" si="2"/>
        <v>0</v>
      </c>
    </row>
    <row r="11" spans="1:9" x14ac:dyDescent="0.3">
      <c r="A11" t="s">
        <v>15</v>
      </c>
      <c r="B11" s="1" t="s">
        <v>51</v>
      </c>
      <c r="C11" s="1" t="s">
        <v>52</v>
      </c>
      <c r="D11">
        <f>IF(VLOOKUP(B11,'aturan_fuzzy (rule)'!$A$2:$E$28,2,FALSE)="Rendah",VLOOKUP(A11,fuzzifikasi!$A:$M,3,FALSE),IF(VLOOKUP(B11,'aturan_fuzzy (rule)'!$A$2:$E$28,2,FALSE)="Sedang",VLOOKUP(A11,fuzzifikasi!$A:$M,4,FALSE),VLOOKUP(A11,fuzzifikasi!$A:$M,5,FALSE)))</f>
        <v>0.66666666666666663</v>
      </c>
      <c r="E11">
        <f>IF(VLOOKUP(B11,'aturan_fuzzy (rule)'!$A$2:$E$28,3,FALSE)="Rendah",VLOOKUP(A11,fuzzifikasi!$A:$M,7,FALSE),IF(VLOOKUP(B11,'aturan_fuzzy (rule)'!$A$2:$E$28,3,FALSE)="Sedang",VLOOKUP(A11,fuzzifikasi!$A:$M,8,FALSE),VLOOKUP(A11,fuzzifikasi!$A:$M,9,FALSE)))</f>
        <v>0</v>
      </c>
      <c r="F11">
        <f>IF(VLOOKUP(B11,'aturan_fuzzy (rule)'!$A$2:$E$28,4,FALSE)="Rendah",VLOOKUP(A11,fuzzifikasi!$A:$M,11,FALSE),IF(VLOOKUP(B11,'aturan_fuzzy (rule)'!$A$2:$E$28,4,FALSE)="Sedang",VLOOKUP(A11,fuzzifikasi!$A:$M,12,FALSE),VLOOKUP(A11,fuzzifikasi!$A:$M,13,FALSE)))</f>
        <v>0</v>
      </c>
      <c r="G11">
        <f t="shared" si="0"/>
        <v>0</v>
      </c>
      <c r="H11">
        <f t="shared" si="1"/>
        <v>40</v>
      </c>
      <c r="I11">
        <f t="shared" si="2"/>
        <v>0</v>
      </c>
    </row>
    <row r="12" spans="1:9" x14ac:dyDescent="0.3">
      <c r="A12" t="s">
        <v>15</v>
      </c>
      <c r="B12" s="1" t="s">
        <v>53</v>
      </c>
      <c r="C12" s="1" t="s">
        <v>41</v>
      </c>
      <c r="D12">
        <f>IF(VLOOKUP(B12,'aturan_fuzzy (rule)'!$A$2:$E$28,2,FALSE)="Rendah",VLOOKUP(A12,fuzzifikasi!$A:$M,3,FALSE),IF(VLOOKUP(B12,'aturan_fuzzy (rule)'!$A$2:$E$28,2,FALSE)="Sedang",VLOOKUP(A12,fuzzifikasi!$A:$M,4,FALSE),VLOOKUP(A12,fuzzifikasi!$A:$M,5,FALSE)))</f>
        <v>0.66666666666666663</v>
      </c>
      <c r="E12">
        <f>IF(VLOOKUP(B12,'aturan_fuzzy (rule)'!$A$2:$E$28,3,FALSE)="Rendah",VLOOKUP(A12,fuzzifikasi!$A:$M,7,FALSE),IF(VLOOKUP(B12,'aturan_fuzzy (rule)'!$A$2:$E$28,3,FALSE)="Sedang",VLOOKUP(A12,fuzzifikasi!$A:$M,8,FALSE),VLOOKUP(A12,fuzzifikasi!$A:$M,9,FALSE)))</f>
        <v>0</v>
      </c>
      <c r="F12">
        <f>IF(VLOOKUP(B12,'aturan_fuzzy (rule)'!$A$2:$E$28,4,FALSE)="Rendah",VLOOKUP(A12,fuzzifikasi!$A:$M,11,FALSE),IF(VLOOKUP(B12,'aturan_fuzzy (rule)'!$A$2:$E$28,4,FALSE)="Sedang",VLOOKUP(A12,fuzzifikasi!$A:$M,12,FALSE),VLOOKUP(A12,fuzzifikasi!$A:$M,13,FALSE)))</f>
        <v>0</v>
      </c>
      <c r="G12">
        <f t="shared" si="0"/>
        <v>0</v>
      </c>
      <c r="H12">
        <f t="shared" si="1"/>
        <v>40</v>
      </c>
      <c r="I12">
        <f t="shared" si="2"/>
        <v>0</v>
      </c>
    </row>
    <row r="13" spans="1:9" x14ac:dyDescent="0.3">
      <c r="A13" t="s">
        <v>15</v>
      </c>
      <c r="B13" s="1" t="s">
        <v>54</v>
      </c>
      <c r="C13" s="1" t="s">
        <v>41</v>
      </c>
      <c r="D13">
        <f>IF(VLOOKUP(B13,'aturan_fuzzy (rule)'!$A$2:$E$28,2,FALSE)="Rendah",VLOOKUP(A13,fuzzifikasi!$A:$M,3,FALSE),IF(VLOOKUP(B13,'aturan_fuzzy (rule)'!$A$2:$E$28,2,FALSE)="Sedang",VLOOKUP(A13,fuzzifikasi!$A:$M,4,FALSE),VLOOKUP(A13,fuzzifikasi!$A:$M,5,FALSE)))</f>
        <v>0.66666666666666663</v>
      </c>
      <c r="E13">
        <f>IF(VLOOKUP(B13,'aturan_fuzzy (rule)'!$A$2:$E$28,3,FALSE)="Rendah",VLOOKUP(A13,fuzzifikasi!$A:$M,7,FALSE),IF(VLOOKUP(B13,'aturan_fuzzy (rule)'!$A$2:$E$28,3,FALSE)="Sedang",VLOOKUP(A13,fuzzifikasi!$A:$M,8,FALSE),VLOOKUP(A13,fuzzifikasi!$A:$M,9,FALSE)))</f>
        <v>0</v>
      </c>
      <c r="F13">
        <f>IF(VLOOKUP(B13,'aturan_fuzzy (rule)'!$A$2:$E$28,4,FALSE)="Rendah",VLOOKUP(A13,fuzzifikasi!$A:$M,11,FALSE),IF(VLOOKUP(B13,'aturan_fuzzy (rule)'!$A$2:$E$28,4,FALSE)="Sedang",VLOOKUP(A13,fuzzifikasi!$A:$M,12,FALSE),VLOOKUP(A13,fuzzifikasi!$A:$M,13,FALSE)))</f>
        <v>1</v>
      </c>
      <c r="G13">
        <f t="shared" si="0"/>
        <v>0</v>
      </c>
      <c r="H13">
        <f t="shared" si="1"/>
        <v>40</v>
      </c>
      <c r="I13">
        <f t="shared" si="2"/>
        <v>0</v>
      </c>
    </row>
    <row r="14" spans="1:9" x14ac:dyDescent="0.3">
      <c r="A14" t="s">
        <v>15</v>
      </c>
      <c r="B14" s="1" t="s">
        <v>55</v>
      </c>
      <c r="C14" s="1" t="s">
        <v>41</v>
      </c>
      <c r="D14">
        <f>IF(VLOOKUP(B14,'aturan_fuzzy (rule)'!$A$2:$E$28,2,FALSE)="Rendah",VLOOKUP(A14,fuzzifikasi!$A:$M,3,FALSE),IF(VLOOKUP(B14,'aturan_fuzzy (rule)'!$A$2:$E$28,2,FALSE)="Sedang",VLOOKUP(A14,fuzzifikasi!$A:$M,4,FALSE),VLOOKUP(A14,fuzzifikasi!$A:$M,5,FALSE)))</f>
        <v>0.66666666666666663</v>
      </c>
      <c r="E14">
        <f>IF(VLOOKUP(B14,'aturan_fuzzy (rule)'!$A$2:$E$28,3,FALSE)="Rendah",VLOOKUP(A14,fuzzifikasi!$A:$M,7,FALSE),IF(VLOOKUP(B14,'aturan_fuzzy (rule)'!$A$2:$E$28,3,FALSE)="Sedang",VLOOKUP(A14,fuzzifikasi!$A:$M,8,FALSE),VLOOKUP(A14,fuzzifikasi!$A:$M,9,FALSE)))</f>
        <v>0</v>
      </c>
      <c r="F14">
        <f>IF(VLOOKUP(B14,'aturan_fuzzy (rule)'!$A$2:$E$28,4,FALSE)="Rendah",VLOOKUP(A14,fuzzifikasi!$A:$M,11,FALSE),IF(VLOOKUP(B14,'aturan_fuzzy (rule)'!$A$2:$E$28,4,FALSE)="Sedang",VLOOKUP(A14,fuzzifikasi!$A:$M,12,FALSE),VLOOKUP(A14,fuzzifikasi!$A:$M,13,FALSE)))</f>
        <v>0</v>
      </c>
      <c r="G14">
        <f t="shared" si="0"/>
        <v>0</v>
      </c>
      <c r="H14">
        <f t="shared" si="1"/>
        <v>40</v>
      </c>
      <c r="I14">
        <f t="shared" si="2"/>
        <v>0</v>
      </c>
    </row>
    <row r="15" spans="1:9" x14ac:dyDescent="0.3">
      <c r="A15" t="s">
        <v>15</v>
      </c>
      <c r="B15" s="1" t="s">
        <v>56</v>
      </c>
      <c r="C15" s="1" t="s">
        <v>41</v>
      </c>
      <c r="D15">
        <f>IF(VLOOKUP(B15,'aturan_fuzzy (rule)'!$A$2:$E$28,2,FALSE)="Rendah",VLOOKUP(A15,fuzzifikasi!$A:$M,3,FALSE),IF(VLOOKUP(B15,'aturan_fuzzy (rule)'!$A$2:$E$28,2,FALSE)="Sedang",VLOOKUP(A15,fuzzifikasi!$A:$M,4,FALSE),VLOOKUP(A15,fuzzifikasi!$A:$M,5,FALSE)))</f>
        <v>0.66666666666666663</v>
      </c>
      <c r="E15">
        <f>IF(VLOOKUP(B15,'aturan_fuzzy (rule)'!$A$2:$E$28,3,FALSE)="Rendah",VLOOKUP(A15,fuzzifikasi!$A:$M,7,FALSE),IF(VLOOKUP(B15,'aturan_fuzzy (rule)'!$A$2:$E$28,3,FALSE)="Sedang",VLOOKUP(A15,fuzzifikasi!$A:$M,8,FALSE),VLOOKUP(A15,fuzzifikasi!$A:$M,9,FALSE)))</f>
        <v>0</v>
      </c>
      <c r="F15">
        <f>IF(VLOOKUP(B15,'aturan_fuzzy (rule)'!$A$2:$E$28,4,FALSE)="Rendah",VLOOKUP(A15,fuzzifikasi!$A:$M,11,FALSE),IF(VLOOKUP(B15,'aturan_fuzzy (rule)'!$A$2:$E$28,4,FALSE)="Sedang",VLOOKUP(A15,fuzzifikasi!$A:$M,12,FALSE),VLOOKUP(A15,fuzzifikasi!$A:$M,13,FALSE)))</f>
        <v>0</v>
      </c>
      <c r="G15">
        <f t="shared" si="0"/>
        <v>0</v>
      </c>
      <c r="H15">
        <f t="shared" si="1"/>
        <v>40</v>
      </c>
      <c r="I15">
        <f t="shared" si="2"/>
        <v>0</v>
      </c>
    </row>
    <row r="16" spans="1:9" x14ac:dyDescent="0.3">
      <c r="A16" t="s">
        <v>15</v>
      </c>
      <c r="B16" s="1" t="s">
        <v>57</v>
      </c>
      <c r="C16" s="1" t="s">
        <v>44</v>
      </c>
      <c r="D16">
        <f>IF(VLOOKUP(B16,'aturan_fuzzy (rule)'!$A$2:$E$28,2,FALSE)="Rendah",VLOOKUP(A16,fuzzifikasi!$A:$M,3,FALSE),IF(VLOOKUP(B16,'aturan_fuzzy (rule)'!$A$2:$E$28,2,FALSE)="Sedang",VLOOKUP(A16,fuzzifikasi!$A:$M,4,FALSE),VLOOKUP(A16,fuzzifikasi!$A:$M,5,FALSE)))</f>
        <v>0.66666666666666663</v>
      </c>
      <c r="E16">
        <f>IF(VLOOKUP(B16,'aturan_fuzzy (rule)'!$A$2:$E$28,3,FALSE)="Rendah",VLOOKUP(A16,fuzzifikasi!$A:$M,7,FALSE),IF(VLOOKUP(B16,'aturan_fuzzy (rule)'!$A$2:$E$28,3,FALSE)="Sedang",VLOOKUP(A16,fuzzifikasi!$A:$M,8,FALSE),VLOOKUP(A16,fuzzifikasi!$A:$M,9,FALSE)))</f>
        <v>0</v>
      </c>
      <c r="F16">
        <f>IF(VLOOKUP(B16,'aturan_fuzzy (rule)'!$A$2:$E$28,4,FALSE)="Rendah",VLOOKUP(A16,fuzzifikasi!$A:$M,11,FALSE),IF(VLOOKUP(B16,'aturan_fuzzy (rule)'!$A$2:$E$28,4,FALSE)="Sedang",VLOOKUP(A16,fuzzifikasi!$A:$M,12,FALSE),VLOOKUP(A16,fuzzifikasi!$A:$M,13,FALSE)))</f>
        <v>1</v>
      </c>
      <c r="G16">
        <f t="shared" si="0"/>
        <v>0</v>
      </c>
      <c r="H16">
        <f t="shared" si="1"/>
        <v>70</v>
      </c>
      <c r="I16">
        <f t="shared" si="2"/>
        <v>0</v>
      </c>
    </row>
    <row r="17" spans="1:9" x14ac:dyDescent="0.3">
      <c r="A17" t="s">
        <v>15</v>
      </c>
      <c r="B17" s="1" t="s">
        <v>58</v>
      </c>
      <c r="C17" s="1" t="s">
        <v>41</v>
      </c>
      <c r="D17">
        <f>IF(VLOOKUP(B17,'aturan_fuzzy (rule)'!$A$2:$E$28,2,FALSE)="Rendah",VLOOKUP(A17,fuzzifikasi!$A:$M,3,FALSE),IF(VLOOKUP(B17,'aturan_fuzzy (rule)'!$A$2:$E$28,2,FALSE)="Sedang",VLOOKUP(A17,fuzzifikasi!$A:$M,4,FALSE),VLOOKUP(A17,fuzzifikasi!$A:$M,5,FALSE)))</f>
        <v>0.66666666666666663</v>
      </c>
      <c r="E17">
        <f>IF(VLOOKUP(B17,'aturan_fuzzy (rule)'!$A$2:$E$28,3,FALSE)="Rendah",VLOOKUP(A17,fuzzifikasi!$A:$M,7,FALSE),IF(VLOOKUP(B17,'aturan_fuzzy (rule)'!$A$2:$E$28,3,FALSE)="Sedang",VLOOKUP(A17,fuzzifikasi!$A:$M,8,FALSE),VLOOKUP(A17,fuzzifikasi!$A:$M,9,FALSE)))</f>
        <v>1</v>
      </c>
      <c r="F17">
        <f>IF(VLOOKUP(B17,'aturan_fuzzy (rule)'!$A$2:$E$28,4,FALSE)="Rendah",VLOOKUP(A17,fuzzifikasi!$A:$M,11,FALSE),IF(VLOOKUP(B17,'aturan_fuzzy (rule)'!$A$2:$E$28,4,FALSE)="Sedang",VLOOKUP(A17,fuzzifikasi!$A:$M,12,FALSE),VLOOKUP(A17,fuzzifikasi!$A:$M,13,FALSE)))</f>
        <v>0</v>
      </c>
      <c r="G17">
        <f t="shared" si="0"/>
        <v>0</v>
      </c>
      <c r="H17">
        <f t="shared" si="1"/>
        <v>40</v>
      </c>
      <c r="I17">
        <f t="shared" si="2"/>
        <v>0</v>
      </c>
    </row>
    <row r="18" spans="1:9" x14ac:dyDescent="0.3">
      <c r="A18" t="s">
        <v>15</v>
      </c>
      <c r="B18" s="1" t="s">
        <v>59</v>
      </c>
      <c r="C18" s="1" t="s">
        <v>44</v>
      </c>
      <c r="D18">
        <f>IF(VLOOKUP(B18,'aturan_fuzzy (rule)'!$A$2:$E$28,2,FALSE)="Rendah",VLOOKUP(A18,fuzzifikasi!$A:$M,3,FALSE),IF(VLOOKUP(B18,'aturan_fuzzy (rule)'!$A$2:$E$28,2,FALSE)="Sedang",VLOOKUP(A18,fuzzifikasi!$A:$M,4,FALSE),VLOOKUP(A18,fuzzifikasi!$A:$M,5,FALSE)))</f>
        <v>0.66666666666666663</v>
      </c>
      <c r="E18">
        <f>IF(VLOOKUP(B18,'aturan_fuzzy (rule)'!$A$2:$E$28,3,FALSE)="Rendah",VLOOKUP(A18,fuzzifikasi!$A:$M,7,FALSE),IF(VLOOKUP(B18,'aturan_fuzzy (rule)'!$A$2:$E$28,3,FALSE)="Sedang",VLOOKUP(A18,fuzzifikasi!$A:$M,8,FALSE),VLOOKUP(A18,fuzzifikasi!$A:$M,9,FALSE)))</f>
        <v>1</v>
      </c>
      <c r="F18">
        <f>IF(VLOOKUP(B18,'aturan_fuzzy (rule)'!$A$2:$E$28,4,FALSE)="Rendah",VLOOKUP(A18,fuzzifikasi!$A:$M,11,FALSE),IF(VLOOKUP(B18,'aturan_fuzzy (rule)'!$A$2:$E$28,4,FALSE)="Sedang",VLOOKUP(A18,fuzzifikasi!$A:$M,12,FALSE),VLOOKUP(A18,fuzzifikasi!$A:$M,13,FALSE)))</f>
        <v>0</v>
      </c>
      <c r="G18">
        <f t="shared" si="0"/>
        <v>0</v>
      </c>
      <c r="H18">
        <f t="shared" si="1"/>
        <v>70</v>
      </c>
      <c r="I18">
        <f t="shared" si="2"/>
        <v>0</v>
      </c>
    </row>
    <row r="19" spans="1:9" x14ac:dyDescent="0.3">
      <c r="A19" t="s">
        <v>15</v>
      </c>
      <c r="B19" s="1" t="s">
        <v>60</v>
      </c>
      <c r="C19" s="1" t="s">
        <v>44</v>
      </c>
      <c r="D19">
        <f>IF(VLOOKUP(B19,'aturan_fuzzy (rule)'!$A$2:$E$28,2,FALSE)="Rendah",VLOOKUP(A19,fuzzifikasi!$A:$M,3,FALSE),IF(VLOOKUP(B19,'aturan_fuzzy (rule)'!$A$2:$E$28,2,FALSE)="Sedang",VLOOKUP(A19,fuzzifikasi!$A:$M,4,FALSE),VLOOKUP(A19,fuzzifikasi!$A:$M,5,FALSE)))</f>
        <v>0.66666666666666663</v>
      </c>
      <c r="E19">
        <f>IF(VLOOKUP(B19,'aturan_fuzzy (rule)'!$A$2:$E$28,3,FALSE)="Rendah",VLOOKUP(A19,fuzzifikasi!$A:$M,7,FALSE),IF(VLOOKUP(B19,'aturan_fuzzy (rule)'!$A$2:$E$28,3,FALSE)="Sedang",VLOOKUP(A19,fuzzifikasi!$A:$M,8,FALSE),VLOOKUP(A19,fuzzifikasi!$A:$M,9,FALSE)))</f>
        <v>1</v>
      </c>
      <c r="F19">
        <f>IF(VLOOKUP(B19,'aturan_fuzzy (rule)'!$A$2:$E$28,4,FALSE)="Rendah",VLOOKUP(A19,fuzzifikasi!$A:$M,11,FALSE),IF(VLOOKUP(B19,'aturan_fuzzy (rule)'!$A$2:$E$28,4,FALSE)="Sedang",VLOOKUP(A19,fuzzifikasi!$A:$M,12,FALSE),VLOOKUP(A19,fuzzifikasi!$A:$M,13,FALSE)))</f>
        <v>1</v>
      </c>
      <c r="G19">
        <f t="shared" si="0"/>
        <v>0.66666666666666663</v>
      </c>
      <c r="H19">
        <f t="shared" si="1"/>
        <v>90</v>
      </c>
      <c r="I19">
        <f t="shared" si="2"/>
        <v>60</v>
      </c>
    </row>
    <row r="20" spans="1:9" x14ac:dyDescent="0.3">
      <c r="A20" t="s">
        <v>15</v>
      </c>
      <c r="B20" s="1" t="s">
        <v>61</v>
      </c>
      <c r="C20" s="1" t="s">
        <v>52</v>
      </c>
      <c r="D20">
        <f>IF(VLOOKUP(B20,'aturan_fuzzy (rule)'!$A$2:$E$28,2,FALSE)="Rendah",VLOOKUP(A20,fuzzifikasi!$A:$M,3,FALSE),IF(VLOOKUP(B20,'aturan_fuzzy (rule)'!$A$2:$E$28,2,FALSE)="Sedang",VLOOKUP(A20,fuzzifikasi!$A:$M,4,FALSE),VLOOKUP(A20,fuzzifikasi!$A:$M,5,FALSE)))</f>
        <v>0.16666666666666666</v>
      </c>
      <c r="E20">
        <f>IF(VLOOKUP(B20,'aturan_fuzzy (rule)'!$A$2:$E$28,3,FALSE)="Rendah",VLOOKUP(A20,fuzzifikasi!$A:$M,7,FALSE),IF(VLOOKUP(B20,'aturan_fuzzy (rule)'!$A$2:$E$28,3,FALSE)="Sedang",VLOOKUP(A20,fuzzifikasi!$A:$M,8,FALSE),VLOOKUP(A20,fuzzifikasi!$A:$M,9,FALSE)))</f>
        <v>0</v>
      </c>
      <c r="F20">
        <f>IF(VLOOKUP(B20,'aturan_fuzzy (rule)'!$A$2:$E$28,4,FALSE)="Rendah",VLOOKUP(A20,fuzzifikasi!$A:$M,11,FALSE),IF(VLOOKUP(B20,'aturan_fuzzy (rule)'!$A$2:$E$28,4,FALSE)="Sedang",VLOOKUP(A20,fuzzifikasi!$A:$M,12,FALSE),VLOOKUP(A20,fuzzifikasi!$A:$M,13,FALSE)))</f>
        <v>0</v>
      </c>
      <c r="G20">
        <f t="shared" si="0"/>
        <v>0</v>
      </c>
      <c r="H20">
        <f t="shared" si="1"/>
        <v>40</v>
      </c>
      <c r="I20">
        <f t="shared" si="2"/>
        <v>0</v>
      </c>
    </row>
    <row r="21" spans="1:9" x14ac:dyDescent="0.3">
      <c r="A21" t="s">
        <v>15</v>
      </c>
      <c r="B21" s="1" t="s">
        <v>62</v>
      </c>
      <c r="C21" s="1" t="s">
        <v>52</v>
      </c>
      <c r="D21">
        <f>IF(VLOOKUP(B21,'aturan_fuzzy (rule)'!$A$2:$E$28,2,FALSE)="Rendah",VLOOKUP(A21,fuzzifikasi!$A:$M,3,FALSE),IF(VLOOKUP(B21,'aturan_fuzzy (rule)'!$A$2:$E$28,2,FALSE)="Sedang",VLOOKUP(A21,fuzzifikasi!$A:$M,4,FALSE),VLOOKUP(A21,fuzzifikasi!$A:$M,5,FALSE)))</f>
        <v>0.16666666666666666</v>
      </c>
      <c r="E21">
        <f>IF(VLOOKUP(B21,'aturan_fuzzy (rule)'!$A$2:$E$28,3,FALSE)="Rendah",VLOOKUP(A21,fuzzifikasi!$A:$M,7,FALSE),IF(VLOOKUP(B21,'aturan_fuzzy (rule)'!$A$2:$E$28,3,FALSE)="Sedang",VLOOKUP(A21,fuzzifikasi!$A:$M,8,FALSE),VLOOKUP(A21,fuzzifikasi!$A:$M,9,FALSE)))</f>
        <v>0</v>
      </c>
      <c r="F21">
        <f>IF(VLOOKUP(B21,'aturan_fuzzy (rule)'!$A$2:$E$28,4,FALSE)="Rendah",VLOOKUP(A21,fuzzifikasi!$A:$M,11,FALSE),IF(VLOOKUP(B21,'aturan_fuzzy (rule)'!$A$2:$E$28,4,FALSE)="Sedang",VLOOKUP(A21,fuzzifikasi!$A:$M,12,FALSE),VLOOKUP(A21,fuzzifikasi!$A:$M,13,FALSE)))</f>
        <v>0</v>
      </c>
      <c r="G21">
        <f t="shared" si="0"/>
        <v>0</v>
      </c>
      <c r="H21">
        <f t="shared" si="1"/>
        <v>40</v>
      </c>
      <c r="I21">
        <f t="shared" si="2"/>
        <v>0</v>
      </c>
    </row>
    <row r="22" spans="1:9" x14ac:dyDescent="0.3">
      <c r="A22" t="s">
        <v>15</v>
      </c>
      <c r="B22" s="1" t="s">
        <v>63</v>
      </c>
      <c r="C22" s="1" t="s">
        <v>41</v>
      </c>
      <c r="D22">
        <f>IF(VLOOKUP(B22,'aturan_fuzzy (rule)'!$A$2:$E$28,2,FALSE)="Rendah",VLOOKUP(A22,fuzzifikasi!$A:$M,3,FALSE),IF(VLOOKUP(B22,'aturan_fuzzy (rule)'!$A$2:$E$28,2,FALSE)="Sedang",VLOOKUP(A22,fuzzifikasi!$A:$M,4,FALSE),VLOOKUP(A22,fuzzifikasi!$A:$M,5,FALSE)))</f>
        <v>0.16666666666666666</v>
      </c>
      <c r="E22">
        <f>IF(VLOOKUP(B22,'aturan_fuzzy (rule)'!$A$2:$E$28,3,FALSE)="Rendah",VLOOKUP(A22,fuzzifikasi!$A:$M,7,FALSE),IF(VLOOKUP(B22,'aturan_fuzzy (rule)'!$A$2:$E$28,3,FALSE)="Sedang",VLOOKUP(A22,fuzzifikasi!$A:$M,8,FALSE),VLOOKUP(A22,fuzzifikasi!$A:$M,9,FALSE)))</f>
        <v>0</v>
      </c>
      <c r="F22">
        <f>IF(VLOOKUP(B22,'aturan_fuzzy (rule)'!$A$2:$E$28,4,FALSE)="Rendah",VLOOKUP(A22,fuzzifikasi!$A:$M,11,FALSE),IF(VLOOKUP(B22,'aturan_fuzzy (rule)'!$A$2:$E$28,4,FALSE)="Sedang",VLOOKUP(A22,fuzzifikasi!$A:$M,12,FALSE),VLOOKUP(A22,fuzzifikasi!$A:$M,13,FALSE)))</f>
        <v>1</v>
      </c>
      <c r="G22">
        <f t="shared" si="0"/>
        <v>0</v>
      </c>
      <c r="H22">
        <f t="shared" si="1"/>
        <v>40</v>
      </c>
      <c r="I22">
        <f t="shared" si="2"/>
        <v>0</v>
      </c>
    </row>
    <row r="23" spans="1:9" x14ac:dyDescent="0.3">
      <c r="A23" t="s">
        <v>15</v>
      </c>
      <c r="B23" s="1" t="s">
        <v>64</v>
      </c>
      <c r="C23" s="1" t="s">
        <v>52</v>
      </c>
      <c r="D23">
        <f>IF(VLOOKUP(B23,'aturan_fuzzy (rule)'!$A$2:$E$28,2,FALSE)="Rendah",VLOOKUP(A23,fuzzifikasi!$A:$M,3,FALSE),IF(VLOOKUP(B23,'aturan_fuzzy (rule)'!$A$2:$E$28,2,FALSE)="Sedang",VLOOKUP(A23,fuzzifikasi!$A:$M,4,FALSE),VLOOKUP(A23,fuzzifikasi!$A:$M,5,FALSE)))</f>
        <v>0.16666666666666666</v>
      </c>
      <c r="E23">
        <f>IF(VLOOKUP(B23,'aturan_fuzzy (rule)'!$A$2:$E$28,3,FALSE)="Rendah",VLOOKUP(A23,fuzzifikasi!$A:$M,7,FALSE),IF(VLOOKUP(B23,'aturan_fuzzy (rule)'!$A$2:$E$28,3,FALSE)="Sedang",VLOOKUP(A23,fuzzifikasi!$A:$M,8,FALSE),VLOOKUP(A23,fuzzifikasi!$A:$M,9,FALSE)))</f>
        <v>0</v>
      </c>
      <c r="F23">
        <f>IF(VLOOKUP(B23,'aturan_fuzzy (rule)'!$A$2:$E$28,4,FALSE)="Rendah",VLOOKUP(A23,fuzzifikasi!$A:$M,11,FALSE),IF(VLOOKUP(B23,'aturan_fuzzy (rule)'!$A$2:$E$28,4,FALSE)="Sedang",VLOOKUP(A23,fuzzifikasi!$A:$M,12,FALSE),VLOOKUP(A23,fuzzifikasi!$A:$M,13,FALSE)))</f>
        <v>0</v>
      </c>
      <c r="G23">
        <f t="shared" si="0"/>
        <v>0</v>
      </c>
      <c r="H23">
        <f t="shared" si="1"/>
        <v>40</v>
      </c>
      <c r="I23">
        <f t="shared" si="2"/>
        <v>0</v>
      </c>
    </row>
    <row r="24" spans="1:9" x14ac:dyDescent="0.3">
      <c r="A24" t="s">
        <v>15</v>
      </c>
      <c r="B24" s="1" t="s">
        <v>65</v>
      </c>
      <c r="C24" s="1" t="s">
        <v>41</v>
      </c>
      <c r="D24">
        <f>IF(VLOOKUP(B24,'aturan_fuzzy (rule)'!$A$2:$E$28,2,FALSE)="Rendah",VLOOKUP(A24,fuzzifikasi!$A:$M,3,FALSE),IF(VLOOKUP(B24,'aturan_fuzzy (rule)'!$A$2:$E$28,2,FALSE)="Sedang",VLOOKUP(A24,fuzzifikasi!$A:$M,4,FALSE),VLOOKUP(A24,fuzzifikasi!$A:$M,5,FALSE)))</f>
        <v>0.16666666666666666</v>
      </c>
      <c r="E24">
        <f>IF(VLOOKUP(B24,'aturan_fuzzy (rule)'!$A$2:$E$28,3,FALSE)="Rendah",VLOOKUP(A24,fuzzifikasi!$A:$M,7,FALSE),IF(VLOOKUP(B24,'aturan_fuzzy (rule)'!$A$2:$E$28,3,FALSE)="Sedang",VLOOKUP(A24,fuzzifikasi!$A:$M,8,FALSE),VLOOKUP(A24,fuzzifikasi!$A:$M,9,FALSE)))</f>
        <v>0</v>
      </c>
      <c r="F24">
        <f>IF(VLOOKUP(B24,'aturan_fuzzy (rule)'!$A$2:$E$28,4,FALSE)="Rendah",VLOOKUP(A24,fuzzifikasi!$A:$M,11,FALSE),IF(VLOOKUP(B24,'aturan_fuzzy (rule)'!$A$2:$E$28,4,FALSE)="Sedang",VLOOKUP(A24,fuzzifikasi!$A:$M,12,FALSE),VLOOKUP(A24,fuzzifikasi!$A:$M,13,FALSE)))</f>
        <v>0</v>
      </c>
      <c r="G24">
        <f t="shared" si="0"/>
        <v>0</v>
      </c>
      <c r="H24">
        <f t="shared" si="1"/>
        <v>40</v>
      </c>
      <c r="I24">
        <f t="shared" si="2"/>
        <v>0</v>
      </c>
    </row>
    <row r="25" spans="1:9" x14ac:dyDescent="0.3">
      <c r="A25" t="s">
        <v>15</v>
      </c>
      <c r="B25" s="1" t="s">
        <v>66</v>
      </c>
      <c r="C25" s="1" t="s">
        <v>41</v>
      </c>
      <c r="D25">
        <f>IF(VLOOKUP(B25,'aturan_fuzzy (rule)'!$A$2:$E$28,2,FALSE)="Rendah",VLOOKUP(A25,fuzzifikasi!$A:$M,3,FALSE),IF(VLOOKUP(B25,'aturan_fuzzy (rule)'!$A$2:$E$28,2,FALSE)="Sedang",VLOOKUP(A25,fuzzifikasi!$A:$M,4,FALSE),VLOOKUP(A25,fuzzifikasi!$A:$M,5,FALSE)))</f>
        <v>0.16666666666666666</v>
      </c>
      <c r="E25">
        <f>IF(VLOOKUP(B25,'aturan_fuzzy (rule)'!$A$2:$E$28,3,FALSE)="Rendah",VLOOKUP(A25,fuzzifikasi!$A:$M,7,FALSE),IF(VLOOKUP(B25,'aturan_fuzzy (rule)'!$A$2:$E$28,3,FALSE)="Sedang",VLOOKUP(A25,fuzzifikasi!$A:$M,8,FALSE),VLOOKUP(A25,fuzzifikasi!$A:$M,9,FALSE)))</f>
        <v>0</v>
      </c>
      <c r="F25">
        <f>IF(VLOOKUP(B25,'aturan_fuzzy (rule)'!$A$2:$E$28,4,FALSE)="Rendah",VLOOKUP(A25,fuzzifikasi!$A:$M,11,FALSE),IF(VLOOKUP(B25,'aturan_fuzzy (rule)'!$A$2:$E$28,4,FALSE)="Sedang",VLOOKUP(A25,fuzzifikasi!$A:$M,12,FALSE),VLOOKUP(A25,fuzzifikasi!$A:$M,13,FALSE)))</f>
        <v>1</v>
      </c>
      <c r="G25">
        <f t="shared" si="0"/>
        <v>0</v>
      </c>
      <c r="H25">
        <f t="shared" si="1"/>
        <v>40</v>
      </c>
      <c r="I25">
        <f t="shared" si="2"/>
        <v>0</v>
      </c>
    </row>
    <row r="26" spans="1:9" x14ac:dyDescent="0.3">
      <c r="A26" t="s">
        <v>15</v>
      </c>
      <c r="B26" s="1" t="s">
        <v>67</v>
      </c>
      <c r="C26" s="1" t="s">
        <v>41</v>
      </c>
      <c r="D26">
        <f>IF(VLOOKUP(B26,'aturan_fuzzy (rule)'!$A$2:$E$28,2,FALSE)="Rendah",VLOOKUP(A26,fuzzifikasi!$A:$M,3,FALSE),IF(VLOOKUP(B26,'aturan_fuzzy (rule)'!$A$2:$E$28,2,FALSE)="Sedang",VLOOKUP(A26,fuzzifikasi!$A:$M,4,FALSE),VLOOKUP(A26,fuzzifikasi!$A:$M,5,FALSE)))</f>
        <v>0.16666666666666666</v>
      </c>
      <c r="E26">
        <f>IF(VLOOKUP(B26,'aturan_fuzzy (rule)'!$A$2:$E$28,3,FALSE)="Rendah",VLOOKUP(A26,fuzzifikasi!$A:$M,7,FALSE),IF(VLOOKUP(B26,'aturan_fuzzy (rule)'!$A$2:$E$28,3,FALSE)="Sedang",VLOOKUP(A26,fuzzifikasi!$A:$M,8,FALSE),VLOOKUP(A26,fuzzifikasi!$A:$M,9,FALSE)))</f>
        <v>1</v>
      </c>
      <c r="F26">
        <f>IF(VLOOKUP(B26,'aturan_fuzzy (rule)'!$A$2:$E$28,4,FALSE)="Rendah",VLOOKUP(A26,fuzzifikasi!$A:$M,11,FALSE),IF(VLOOKUP(B26,'aturan_fuzzy (rule)'!$A$2:$E$28,4,FALSE)="Sedang",VLOOKUP(A26,fuzzifikasi!$A:$M,12,FALSE),VLOOKUP(A26,fuzzifikasi!$A:$M,13,FALSE)))</f>
        <v>0</v>
      </c>
      <c r="G26">
        <f t="shared" si="0"/>
        <v>0</v>
      </c>
      <c r="H26">
        <f t="shared" si="1"/>
        <v>40</v>
      </c>
      <c r="I26">
        <f t="shared" si="2"/>
        <v>0</v>
      </c>
    </row>
    <row r="27" spans="1:9" x14ac:dyDescent="0.3">
      <c r="A27" t="s">
        <v>15</v>
      </c>
      <c r="B27" s="1" t="s">
        <v>68</v>
      </c>
      <c r="C27" s="1" t="s">
        <v>41</v>
      </c>
      <c r="D27">
        <f>IF(VLOOKUP(B27,'aturan_fuzzy (rule)'!$A$2:$E$28,2,FALSE)="Rendah",VLOOKUP(A27,fuzzifikasi!$A:$M,3,FALSE),IF(VLOOKUP(B27,'aturan_fuzzy (rule)'!$A$2:$E$28,2,FALSE)="Sedang",VLOOKUP(A27,fuzzifikasi!$A:$M,4,FALSE),VLOOKUP(A27,fuzzifikasi!$A:$M,5,FALSE)))</f>
        <v>0.16666666666666666</v>
      </c>
      <c r="E27">
        <f>IF(VLOOKUP(B27,'aturan_fuzzy (rule)'!$A$2:$E$28,3,FALSE)="Rendah",VLOOKUP(A27,fuzzifikasi!$A:$M,7,FALSE),IF(VLOOKUP(B27,'aturan_fuzzy (rule)'!$A$2:$E$28,3,FALSE)="Sedang",VLOOKUP(A27,fuzzifikasi!$A:$M,8,FALSE),VLOOKUP(A27,fuzzifikasi!$A:$M,9,FALSE)))</f>
        <v>1</v>
      </c>
      <c r="F27">
        <f>IF(VLOOKUP(B27,'aturan_fuzzy (rule)'!$A$2:$E$28,4,FALSE)="Rendah",VLOOKUP(A27,fuzzifikasi!$A:$M,11,FALSE),IF(VLOOKUP(B27,'aturan_fuzzy (rule)'!$A$2:$E$28,4,FALSE)="Sedang",VLOOKUP(A27,fuzzifikasi!$A:$M,12,FALSE),VLOOKUP(A27,fuzzifikasi!$A:$M,13,FALSE)))</f>
        <v>0</v>
      </c>
      <c r="G27">
        <f t="shared" si="0"/>
        <v>0</v>
      </c>
      <c r="H27">
        <f t="shared" si="1"/>
        <v>40</v>
      </c>
      <c r="I27">
        <f t="shared" si="2"/>
        <v>0</v>
      </c>
    </row>
    <row r="28" spans="1:9" x14ac:dyDescent="0.3">
      <c r="A28" t="s">
        <v>15</v>
      </c>
      <c r="B28" s="1" t="s">
        <v>69</v>
      </c>
      <c r="C28" s="1" t="s">
        <v>44</v>
      </c>
      <c r="D28">
        <f>IF(VLOOKUP(B28,'aturan_fuzzy (rule)'!$A$2:$E$28,2,FALSE)="Rendah",VLOOKUP(A28,fuzzifikasi!$A:$M,3,FALSE),IF(VLOOKUP(B28,'aturan_fuzzy (rule)'!$A$2:$E$28,2,FALSE)="Sedang",VLOOKUP(A28,fuzzifikasi!$A:$M,4,FALSE),VLOOKUP(A28,fuzzifikasi!$A:$M,5,FALSE)))</f>
        <v>0.16666666666666666</v>
      </c>
      <c r="E28">
        <f>IF(VLOOKUP(B28,'aturan_fuzzy (rule)'!$A$2:$E$28,3,FALSE)="Rendah",VLOOKUP(A28,fuzzifikasi!$A:$M,7,FALSE),IF(VLOOKUP(B28,'aturan_fuzzy (rule)'!$A$2:$E$28,3,FALSE)="Sedang",VLOOKUP(A28,fuzzifikasi!$A:$M,8,FALSE),VLOOKUP(A28,fuzzifikasi!$A:$M,9,FALSE)))</f>
        <v>1</v>
      </c>
      <c r="F28">
        <f>IF(VLOOKUP(B28,'aturan_fuzzy (rule)'!$A$2:$E$28,4,FALSE)="Rendah",VLOOKUP(A28,fuzzifikasi!$A:$M,11,FALSE),IF(VLOOKUP(B28,'aturan_fuzzy (rule)'!$A$2:$E$28,4,FALSE)="Sedang",VLOOKUP(A28,fuzzifikasi!$A:$M,12,FALSE),VLOOKUP(A28,fuzzifikasi!$A:$M,13,FALSE)))</f>
        <v>1</v>
      </c>
      <c r="G28">
        <f t="shared" si="0"/>
        <v>0.16666666666666666</v>
      </c>
      <c r="H28">
        <f t="shared" si="1"/>
        <v>75</v>
      </c>
      <c r="I28">
        <f t="shared" si="2"/>
        <v>12.5</v>
      </c>
    </row>
    <row r="30" spans="1:9" x14ac:dyDescent="0.3">
      <c r="A30" t="s">
        <v>16</v>
      </c>
      <c r="B30" s="1" t="s">
        <v>40</v>
      </c>
      <c r="C30" s="1" t="s">
        <v>41</v>
      </c>
      <c r="D30">
        <f>IF(VLOOKUP(B30,'aturan_fuzzy (rule)'!$A$2:$E$28,2,FALSE)="Rendah",VLOOKUP(A30,fuzzifikasi!$A:$M,3,FALSE),IF(VLOOKUP(B30,'aturan_fuzzy (rule)'!$A$2:$E$28,2,FALSE)="Sedang",VLOOKUP(A30,fuzzifikasi!$A:$M,4,FALSE),VLOOKUP(A30,fuzzifikasi!$A:$M,5,FALSE)))</f>
        <v>1</v>
      </c>
      <c r="E30">
        <f>IF(VLOOKUP(B30,'aturan_fuzzy (rule)'!$A$2:$E$28,3,FALSE)="Rendah",VLOOKUP(A30,fuzzifikasi!$A:$M,7,FALSE),IF(VLOOKUP(B30,'aturan_fuzzy (rule)'!$A$2:$E$28,3,FALSE)="Sedang",VLOOKUP(A30,fuzzifikasi!$A:$M,8,FALSE),VLOOKUP(A30,fuzzifikasi!$A:$M,9,FALSE)))</f>
        <v>0</v>
      </c>
      <c r="F30">
        <f>IF(VLOOKUP(B30,'aturan_fuzzy (rule)'!$A$2:$E$28,4,FALSE)="Rendah",VLOOKUP(A30,fuzzifikasi!$A:$M,11,FALSE),IF(VLOOKUP(B30,'aturan_fuzzy (rule)'!$A$2:$E$28,4,FALSE)="Sedang",VLOOKUP(A30,fuzzifikasi!$A:$M,12,FALSE),VLOOKUP(A30,fuzzifikasi!$A:$M,13,FALSE)))</f>
        <v>0</v>
      </c>
      <c r="G30">
        <f t="shared" si="0"/>
        <v>0</v>
      </c>
      <c r="H30">
        <f t="shared" si="1"/>
        <v>40</v>
      </c>
      <c r="I30">
        <f t="shared" si="2"/>
        <v>0</v>
      </c>
    </row>
    <row r="31" spans="1:9" x14ac:dyDescent="0.3">
      <c r="A31" t="s">
        <v>16</v>
      </c>
      <c r="B31" s="1" t="s">
        <v>42</v>
      </c>
      <c r="C31" s="1" t="s">
        <v>41</v>
      </c>
      <c r="D31">
        <f>IF(VLOOKUP(B31,'aturan_fuzzy (rule)'!$A$2:$E$28,2,FALSE)="Rendah",VLOOKUP(A31,fuzzifikasi!$A:$M,3,FALSE),IF(VLOOKUP(B31,'aturan_fuzzy (rule)'!$A$2:$E$28,2,FALSE)="Sedang",VLOOKUP(A31,fuzzifikasi!$A:$M,4,FALSE),VLOOKUP(A31,fuzzifikasi!$A:$M,5,FALSE)))</f>
        <v>1</v>
      </c>
      <c r="E31">
        <f>IF(VLOOKUP(B31,'aturan_fuzzy (rule)'!$A$2:$E$28,3,FALSE)="Rendah",VLOOKUP(A31,fuzzifikasi!$A:$M,7,FALSE),IF(VLOOKUP(B31,'aturan_fuzzy (rule)'!$A$2:$E$28,3,FALSE)="Sedang",VLOOKUP(A31,fuzzifikasi!$A:$M,8,FALSE),VLOOKUP(A31,fuzzifikasi!$A:$M,9,FALSE)))</f>
        <v>0</v>
      </c>
      <c r="F31">
        <f>IF(VLOOKUP(B31,'aturan_fuzzy (rule)'!$A$2:$E$28,4,FALSE)="Rendah",VLOOKUP(A31,fuzzifikasi!$A:$M,11,FALSE),IF(VLOOKUP(B31,'aturan_fuzzy (rule)'!$A$2:$E$28,4,FALSE)="Sedang",VLOOKUP(A31,fuzzifikasi!$A:$M,12,FALSE),VLOOKUP(A31,fuzzifikasi!$A:$M,13,FALSE)))</f>
        <v>0</v>
      </c>
      <c r="G31">
        <f t="shared" si="0"/>
        <v>0</v>
      </c>
      <c r="H31">
        <f t="shared" si="1"/>
        <v>40</v>
      </c>
      <c r="I31">
        <f t="shared" si="2"/>
        <v>0</v>
      </c>
    </row>
    <row r="32" spans="1:9" x14ac:dyDescent="0.3">
      <c r="A32" t="s">
        <v>16</v>
      </c>
      <c r="B32" s="1" t="s">
        <v>43</v>
      </c>
      <c r="C32" s="1" t="s">
        <v>44</v>
      </c>
      <c r="D32">
        <f>IF(VLOOKUP(B32,'aturan_fuzzy (rule)'!$A$2:$E$28,2,FALSE)="Rendah",VLOOKUP(A32,fuzzifikasi!$A:$M,3,FALSE),IF(VLOOKUP(B32,'aturan_fuzzy (rule)'!$A$2:$E$28,2,FALSE)="Sedang",VLOOKUP(A32,fuzzifikasi!$A:$M,4,FALSE),VLOOKUP(A32,fuzzifikasi!$A:$M,5,FALSE)))</f>
        <v>1</v>
      </c>
      <c r="E32">
        <f>IF(VLOOKUP(B32,'aturan_fuzzy (rule)'!$A$2:$E$28,3,FALSE)="Rendah",VLOOKUP(A32,fuzzifikasi!$A:$M,7,FALSE),IF(VLOOKUP(B32,'aturan_fuzzy (rule)'!$A$2:$E$28,3,FALSE)="Sedang",VLOOKUP(A32,fuzzifikasi!$A:$M,8,FALSE),VLOOKUP(A32,fuzzifikasi!$A:$M,9,FALSE)))</f>
        <v>0</v>
      </c>
      <c r="F32">
        <f>IF(VLOOKUP(B32,'aturan_fuzzy (rule)'!$A$2:$E$28,4,FALSE)="Rendah",VLOOKUP(A32,fuzzifikasi!$A:$M,11,FALSE),IF(VLOOKUP(B32,'aturan_fuzzy (rule)'!$A$2:$E$28,4,FALSE)="Sedang",VLOOKUP(A32,fuzzifikasi!$A:$M,12,FALSE),VLOOKUP(A32,fuzzifikasi!$A:$M,13,FALSE)))</f>
        <v>1</v>
      </c>
      <c r="G32">
        <f t="shared" si="0"/>
        <v>0</v>
      </c>
      <c r="H32">
        <f t="shared" si="1"/>
        <v>70</v>
      </c>
      <c r="I32">
        <f t="shared" si="2"/>
        <v>0</v>
      </c>
    </row>
    <row r="33" spans="1:9" x14ac:dyDescent="0.3">
      <c r="A33" t="s">
        <v>16</v>
      </c>
      <c r="B33" s="1" t="s">
        <v>45</v>
      </c>
      <c r="C33" s="1" t="s">
        <v>41</v>
      </c>
      <c r="D33">
        <f>IF(VLOOKUP(B33,'aturan_fuzzy (rule)'!$A$2:$E$28,2,FALSE)="Rendah",VLOOKUP(A33,fuzzifikasi!$A:$M,3,FALSE),IF(VLOOKUP(B33,'aturan_fuzzy (rule)'!$A$2:$E$28,2,FALSE)="Sedang",VLOOKUP(A33,fuzzifikasi!$A:$M,4,FALSE),VLOOKUP(A33,fuzzifikasi!$A:$M,5,FALSE)))</f>
        <v>1</v>
      </c>
      <c r="E33">
        <f>IF(VLOOKUP(B33,'aturan_fuzzy (rule)'!$A$2:$E$28,3,FALSE)="Rendah",VLOOKUP(A33,fuzzifikasi!$A:$M,7,FALSE),IF(VLOOKUP(B33,'aturan_fuzzy (rule)'!$A$2:$E$28,3,FALSE)="Sedang",VLOOKUP(A33,fuzzifikasi!$A:$M,8,FALSE),VLOOKUP(A33,fuzzifikasi!$A:$M,9,FALSE)))</f>
        <v>0</v>
      </c>
      <c r="F33">
        <f>IF(VLOOKUP(B33,'aturan_fuzzy (rule)'!$A$2:$E$28,4,FALSE)="Rendah",VLOOKUP(A33,fuzzifikasi!$A:$M,11,FALSE),IF(VLOOKUP(B33,'aturan_fuzzy (rule)'!$A$2:$E$28,4,FALSE)="Sedang",VLOOKUP(A33,fuzzifikasi!$A:$M,12,FALSE),VLOOKUP(A33,fuzzifikasi!$A:$M,13,FALSE)))</f>
        <v>0</v>
      </c>
      <c r="G33">
        <f t="shared" si="0"/>
        <v>0</v>
      </c>
      <c r="H33">
        <f t="shared" si="1"/>
        <v>40</v>
      </c>
      <c r="I33">
        <f t="shared" si="2"/>
        <v>0</v>
      </c>
    </row>
    <row r="34" spans="1:9" x14ac:dyDescent="0.3">
      <c r="A34" t="s">
        <v>16</v>
      </c>
      <c r="B34" s="1" t="s">
        <v>46</v>
      </c>
      <c r="C34" s="1" t="s">
        <v>44</v>
      </c>
      <c r="D34">
        <f>IF(VLOOKUP(B34,'aturan_fuzzy (rule)'!$A$2:$E$28,2,FALSE)="Rendah",VLOOKUP(A34,fuzzifikasi!$A:$M,3,FALSE),IF(VLOOKUP(B34,'aturan_fuzzy (rule)'!$A$2:$E$28,2,FALSE)="Sedang",VLOOKUP(A34,fuzzifikasi!$A:$M,4,FALSE),VLOOKUP(A34,fuzzifikasi!$A:$M,5,FALSE)))</f>
        <v>1</v>
      </c>
      <c r="E34">
        <f>IF(VLOOKUP(B34,'aturan_fuzzy (rule)'!$A$2:$E$28,3,FALSE)="Rendah",VLOOKUP(A34,fuzzifikasi!$A:$M,7,FALSE),IF(VLOOKUP(B34,'aturan_fuzzy (rule)'!$A$2:$E$28,3,FALSE)="Sedang",VLOOKUP(A34,fuzzifikasi!$A:$M,8,FALSE),VLOOKUP(A34,fuzzifikasi!$A:$M,9,FALSE)))</f>
        <v>0</v>
      </c>
      <c r="F34">
        <f>IF(VLOOKUP(B34,'aturan_fuzzy (rule)'!$A$2:$E$28,4,FALSE)="Rendah",VLOOKUP(A34,fuzzifikasi!$A:$M,11,FALSE),IF(VLOOKUP(B34,'aturan_fuzzy (rule)'!$A$2:$E$28,4,FALSE)="Sedang",VLOOKUP(A34,fuzzifikasi!$A:$M,12,FALSE),VLOOKUP(A34,fuzzifikasi!$A:$M,13,FALSE)))</f>
        <v>0</v>
      </c>
      <c r="G34">
        <f t="shared" si="0"/>
        <v>0</v>
      </c>
      <c r="H34">
        <f t="shared" si="1"/>
        <v>70</v>
      </c>
      <c r="I34">
        <f t="shared" si="2"/>
        <v>0</v>
      </c>
    </row>
    <row r="35" spans="1:9" x14ac:dyDescent="0.3">
      <c r="A35" t="s">
        <v>16</v>
      </c>
      <c r="B35" s="1" t="s">
        <v>47</v>
      </c>
      <c r="C35" s="1" t="s">
        <v>44</v>
      </c>
      <c r="D35">
        <f>IF(VLOOKUP(B35,'aturan_fuzzy (rule)'!$A$2:$E$28,2,FALSE)="Rendah",VLOOKUP(A35,fuzzifikasi!$A:$M,3,FALSE),IF(VLOOKUP(B35,'aturan_fuzzy (rule)'!$A$2:$E$28,2,FALSE)="Sedang",VLOOKUP(A35,fuzzifikasi!$A:$M,4,FALSE),VLOOKUP(A35,fuzzifikasi!$A:$M,5,FALSE)))</f>
        <v>1</v>
      </c>
      <c r="E35">
        <f>IF(VLOOKUP(B35,'aturan_fuzzy (rule)'!$A$2:$E$28,3,FALSE)="Rendah",VLOOKUP(A35,fuzzifikasi!$A:$M,7,FALSE),IF(VLOOKUP(B35,'aturan_fuzzy (rule)'!$A$2:$E$28,3,FALSE)="Sedang",VLOOKUP(A35,fuzzifikasi!$A:$M,8,FALSE),VLOOKUP(A35,fuzzifikasi!$A:$M,9,FALSE)))</f>
        <v>0</v>
      </c>
      <c r="F35">
        <f>IF(VLOOKUP(B35,'aturan_fuzzy (rule)'!$A$2:$E$28,4,FALSE)="Rendah",VLOOKUP(A35,fuzzifikasi!$A:$M,11,FALSE),IF(VLOOKUP(B35,'aturan_fuzzy (rule)'!$A$2:$E$28,4,FALSE)="Sedang",VLOOKUP(A35,fuzzifikasi!$A:$M,12,FALSE),VLOOKUP(A35,fuzzifikasi!$A:$M,13,FALSE)))</f>
        <v>1</v>
      </c>
      <c r="G35">
        <f t="shared" si="0"/>
        <v>0</v>
      </c>
      <c r="H35">
        <f t="shared" si="1"/>
        <v>70</v>
      </c>
      <c r="I35">
        <f t="shared" si="2"/>
        <v>0</v>
      </c>
    </row>
    <row r="36" spans="1:9" x14ac:dyDescent="0.3">
      <c r="A36" t="s">
        <v>16</v>
      </c>
      <c r="B36" s="1" t="s">
        <v>48</v>
      </c>
      <c r="C36" s="1" t="s">
        <v>44</v>
      </c>
      <c r="D36">
        <f>IF(VLOOKUP(B36,'aturan_fuzzy (rule)'!$A$2:$E$28,2,FALSE)="Rendah",VLOOKUP(A36,fuzzifikasi!$A:$M,3,FALSE),IF(VLOOKUP(B36,'aturan_fuzzy (rule)'!$A$2:$E$28,2,FALSE)="Sedang",VLOOKUP(A36,fuzzifikasi!$A:$M,4,FALSE),VLOOKUP(A36,fuzzifikasi!$A:$M,5,FALSE)))</f>
        <v>1</v>
      </c>
      <c r="E36">
        <f>IF(VLOOKUP(B36,'aturan_fuzzy (rule)'!$A$2:$E$28,3,FALSE)="Rendah",VLOOKUP(A36,fuzzifikasi!$A:$M,7,FALSE),IF(VLOOKUP(B36,'aturan_fuzzy (rule)'!$A$2:$E$28,3,FALSE)="Sedang",VLOOKUP(A36,fuzzifikasi!$A:$M,8,FALSE),VLOOKUP(A36,fuzzifikasi!$A:$M,9,FALSE)))</f>
        <v>1</v>
      </c>
      <c r="F36">
        <f>IF(VLOOKUP(B36,'aturan_fuzzy (rule)'!$A$2:$E$28,4,FALSE)="Rendah",VLOOKUP(A36,fuzzifikasi!$A:$M,11,FALSE),IF(VLOOKUP(B36,'aturan_fuzzy (rule)'!$A$2:$E$28,4,FALSE)="Sedang",VLOOKUP(A36,fuzzifikasi!$A:$M,12,FALSE),VLOOKUP(A36,fuzzifikasi!$A:$M,13,FALSE)))</f>
        <v>0</v>
      </c>
      <c r="G36">
        <f t="shared" si="0"/>
        <v>0</v>
      </c>
      <c r="H36">
        <f t="shared" si="1"/>
        <v>70</v>
      </c>
      <c r="I36">
        <f t="shared" si="2"/>
        <v>0</v>
      </c>
    </row>
    <row r="37" spans="1:9" x14ac:dyDescent="0.3">
      <c r="A37" t="s">
        <v>16</v>
      </c>
      <c r="B37" s="1" t="s">
        <v>49</v>
      </c>
      <c r="C37" s="1" t="s">
        <v>44</v>
      </c>
      <c r="D37">
        <f>IF(VLOOKUP(B37,'aturan_fuzzy (rule)'!$A$2:$E$28,2,FALSE)="Rendah",VLOOKUP(A37,fuzzifikasi!$A:$M,3,FALSE),IF(VLOOKUP(B37,'aturan_fuzzy (rule)'!$A$2:$E$28,2,FALSE)="Sedang",VLOOKUP(A37,fuzzifikasi!$A:$M,4,FALSE),VLOOKUP(A37,fuzzifikasi!$A:$M,5,FALSE)))</f>
        <v>1</v>
      </c>
      <c r="E37">
        <f>IF(VLOOKUP(B37,'aturan_fuzzy (rule)'!$A$2:$E$28,3,FALSE)="Rendah",VLOOKUP(A37,fuzzifikasi!$A:$M,7,FALSE),IF(VLOOKUP(B37,'aturan_fuzzy (rule)'!$A$2:$E$28,3,FALSE)="Sedang",VLOOKUP(A37,fuzzifikasi!$A:$M,8,FALSE),VLOOKUP(A37,fuzzifikasi!$A:$M,9,FALSE)))</f>
        <v>1</v>
      </c>
      <c r="F37">
        <f>IF(VLOOKUP(B37,'aturan_fuzzy (rule)'!$A$2:$E$28,4,FALSE)="Rendah",VLOOKUP(A37,fuzzifikasi!$A:$M,11,FALSE),IF(VLOOKUP(B37,'aturan_fuzzy (rule)'!$A$2:$E$28,4,FALSE)="Sedang",VLOOKUP(A37,fuzzifikasi!$A:$M,12,FALSE),VLOOKUP(A37,fuzzifikasi!$A:$M,13,FALSE)))</f>
        <v>0</v>
      </c>
      <c r="G37">
        <f t="shared" si="0"/>
        <v>0</v>
      </c>
      <c r="H37">
        <f t="shared" si="1"/>
        <v>70</v>
      </c>
      <c r="I37">
        <f t="shared" si="2"/>
        <v>0</v>
      </c>
    </row>
    <row r="38" spans="1:9" x14ac:dyDescent="0.3">
      <c r="A38" t="s">
        <v>16</v>
      </c>
      <c r="B38" s="1" t="s">
        <v>50</v>
      </c>
      <c r="C38" s="1" t="s">
        <v>44</v>
      </c>
      <c r="D38">
        <f>IF(VLOOKUP(B38,'aturan_fuzzy (rule)'!$A$2:$E$28,2,FALSE)="Rendah",VLOOKUP(A38,fuzzifikasi!$A:$M,3,FALSE),IF(VLOOKUP(B38,'aturan_fuzzy (rule)'!$A$2:$E$28,2,FALSE)="Sedang",VLOOKUP(A38,fuzzifikasi!$A:$M,4,FALSE),VLOOKUP(A38,fuzzifikasi!$A:$M,5,FALSE)))</f>
        <v>1</v>
      </c>
      <c r="E38">
        <f>IF(VLOOKUP(B38,'aturan_fuzzy (rule)'!$A$2:$E$28,3,FALSE)="Rendah",VLOOKUP(A38,fuzzifikasi!$A:$M,7,FALSE),IF(VLOOKUP(B38,'aturan_fuzzy (rule)'!$A$2:$E$28,3,FALSE)="Sedang",VLOOKUP(A38,fuzzifikasi!$A:$M,8,FALSE),VLOOKUP(A38,fuzzifikasi!$A:$M,9,FALSE)))</f>
        <v>1</v>
      </c>
      <c r="F38">
        <f>IF(VLOOKUP(B38,'aturan_fuzzy (rule)'!$A$2:$E$28,4,FALSE)="Rendah",VLOOKUP(A38,fuzzifikasi!$A:$M,11,FALSE),IF(VLOOKUP(B38,'aturan_fuzzy (rule)'!$A$2:$E$28,4,FALSE)="Sedang",VLOOKUP(A38,fuzzifikasi!$A:$M,12,FALSE),VLOOKUP(A38,fuzzifikasi!$A:$M,13,FALSE)))</f>
        <v>1</v>
      </c>
      <c r="G38">
        <f t="shared" si="0"/>
        <v>1</v>
      </c>
      <c r="H38">
        <f t="shared" si="1"/>
        <v>100</v>
      </c>
      <c r="I38">
        <f t="shared" si="2"/>
        <v>100</v>
      </c>
    </row>
    <row r="39" spans="1:9" x14ac:dyDescent="0.3">
      <c r="A39" t="s">
        <v>16</v>
      </c>
      <c r="B39" s="1" t="s">
        <v>51</v>
      </c>
      <c r="C39" s="1" t="s">
        <v>52</v>
      </c>
      <c r="D39">
        <f>IF(VLOOKUP(B39,'aturan_fuzzy (rule)'!$A$2:$E$28,2,FALSE)="Rendah",VLOOKUP(A39,fuzzifikasi!$A:$M,3,FALSE),IF(VLOOKUP(B39,'aturan_fuzzy (rule)'!$A$2:$E$28,2,FALSE)="Sedang",VLOOKUP(A39,fuzzifikasi!$A:$M,4,FALSE),VLOOKUP(A39,fuzzifikasi!$A:$M,5,FALSE)))</f>
        <v>0</v>
      </c>
      <c r="E39">
        <f>IF(VLOOKUP(B39,'aturan_fuzzy (rule)'!$A$2:$E$28,3,FALSE)="Rendah",VLOOKUP(A39,fuzzifikasi!$A:$M,7,FALSE),IF(VLOOKUP(B39,'aturan_fuzzy (rule)'!$A$2:$E$28,3,FALSE)="Sedang",VLOOKUP(A39,fuzzifikasi!$A:$M,8,FALSE),VLOOKUP(A39,fuzzifikasi!$A:$M,9,FALSE)))</f>
        <v>0</v>
      </c>
      <c r="F39">
        <f>IF(VLOOKUP(B39,'aturan_fuzzy (rule)'!$A$2:$E$28,4,FALSE)="Rendah",VLOOKUP(A39,fuzzifikasi!$A:$M,11,FALSE),IF(VLOOKUP(B39,'aturan_fuzzy (rule)'!$A$2:$E$28,4,FALSE)="Sedang",VLOOKUP(A39,fuzzifikasi!$A:$M,12,FALSE),VLOOKUP(A39,fuzzifikasi!$A:$M,13,FALSE)))</f>
        <v>0</v>
      </c>
      <c r="G39">
        <f t="shared" si="0"/>
        <v>0</v>
      </c>
      <c r="H39">
        <f t="shared" si="1"/>
        <v>40</v>
      </c>
      <c r="I39">
        <f t="shared" si="2"/>
        <v>0</v>
      </c>
    </row>
    <row r="40" spans="1:9" x14ac:dyDescent="0.3">
      <c r="A40" t="s">
        <v>16</v>
      </c>
      <c r="B40" s="1" t="s">
        <v>53</v>
      </c>
      <c r="C40" s="1" t="s">
        <v>41</v>
      </c>
      <c r="D40">
        <f>IF(VLOOKUP(B40,'aturan_fuzzy (rule)'!$A$2:$E$28,2,FALSE)="Rendah",VLOOKUP(A40,fuzzifikasi!$A:$M,3,FALSE),IF(VLOOKUP(B40,'aturan_fuzzy (rule)'!$A$2:$E$28,2,FALSE)="Sedang",VLOOKUP(A40,fuzzifikasi!$A:$M,4,FALSE),VLOOKUP(A40,fuzzifikasi!$A:$M,5,FALSE)))</f>
        <v>0</v>
      </c>
      <c r="E40">
        <f>IF(VLOOKUP(B40,'aturan_fuzzy (rule)'!$A$2:$E$28,3,FALSE)="Rendah",VLOOKUP(A40,fuzzifikasi!$A:$M,7,FALSE),IF(VLOOKUP(B40,'aturan_fuzzy (rule)'!$A$2:$E$28,3,FALSE)="Sedang",VLOOKUP(A40,fuzzifikasi!$A:$M,8,FALSE),VLOOKUP(A40,fuzzifikasi!$A:$M,9,FALSE)))</f>
        <v>0</v>
      </c>
      <c r="F40">
        <f>IF(VLOOKUP(B40,'aturan_fuzzy (rule)'!$A$2:$E$28,4,FALSE)="Rendah",VLOOKUP(A40,fuzzifikasi!$A:$M,11,FALSE),IF(VLOOKUP(B40,'aturan_fuzzy (rule)'!$A$2:$E$28,4,FALSE)="Sedang",VLOOKUP(A40,fuzzifikasi!$A:$M,12,FALSE),VLOOKUP(A40,fuzzifikasi!$A:$M,13,FALSE)))</f>
        <v>0</v>
      </c>
      <c r="G40">
        <f t="shared" si="0"/>
        <v>0</v>
      </c>
      <c r="H40">
        <f t="shared" si="1"/>
        <v>40</v>
      </c>
      <c r="I40">
        <f t="shared" si="2"/>
        <v>0</v>
      </c>
    </row>
    <row r="41" spans="1:9" x14ac:dyDescent="0.3">
      <c r="A41" t="s">
        <v>16</v>
      </c>
      <c r="B41" s="1" t="s">
        <v>54</v>
      </c>
      <c r="C41" s="1" t="s">
        <v>41</v>
      </c>
      <c r="D41">
        <f>IF(VLOOKUP(B41,'aturan_fuzzy (rule)'!$A$2:$E$28,2,FALSE)="Rendah",VLOOKUP(A41,fuzzifikasi!$A:$M,3,FALSE),IF(VLOOKUP(B41,'aturan_fuzzy (rule)'!$A$2:$E$28,2,FALSE)="Sedang",VLOOKUP(A41,fuzzifikasi!$A:$M,4,FALSE),VLOOKUP(A41,fuzzifikasi!$A:$M,5,FALSE)))</f>
        <v>0</v>
      </c>
      <c r="E41">
        <f>IF(VLOOKUP(B41,'aturan_fuzzy (rule)'!$A$2:$E$28,3,FALSE)="Rendah",VLOOKUP(A41,fuzzifikasi!$A:$M,7,FALSE),IF(VLOOKUP(B41,'aturan_fuzzy (rule)'!$A$2:$E$28,3,FALSE)="Sedang",VLOOKUP(A41,fuzzifikasi!$A:$M,8,FALSE),VLOOKUP(A41,fuzzifikasi!$A:$M,9,FALSE)))</f>
        <v>0</v>
      </c>
      <c r="F41">
        <f>IF(VLOOKUP(B41,'aturan_fuzzy (rule)'!$A$2:$E$28,4,FALSE)="Rendah",VLOOKUP(A41,fuzzifikasi!$A:$M,11,FALSE),IF(VLOOKUP(B41,'aturan_fuzzy (rule)'!$A$2:$E$28,4,FALSE)="Sedang",VLOOKUP(A41,fuzzifikasi!$A:$M,12,FALSE),VLOOKUP(A41,fuzzifikasi!$A:$M,13,FALSE)))</f>
        <v>1</v>
      </c>
      <c r="G41">
        <f t="shared" si="0"/>
        <v>0</v>
      </c>
      <c r="H41">
        <f t="shared" si="1"/>
        <v>40</v>
      </c>
      <c r="I41">
        <f t="shared" si="2"/>
        <v>0</v>
      </c>
    </row>
    <row r="42" spans="1:9" x14ac:dyDescent="0.3">
      <c r="A42" t="s">
        <v>16</v>
      </c>
      <c r="B42" s="1" t="s">
        <v>55</v>
      </c>
      <c r="C42" s="1" t="s">
        <v>41</v>
      </c>
      <c r="D42">
        <f>IF(VLOOKUP(B42,'aturan_fuzzy (rule)'!$A$2:$E$28,2,FALSE)="Rendah",VLOOKUP(A42,fuzzifikasi!$A:$M,3,FALSE),IF(VLOOKUP(B42,'aturan_fuzzy (rule)'!$A$2:$E$28,2,FALSE)="Sedang",VLOOKUP(A42,fuzzifikasi!$A:$M,4,FALSE),VLOOKUP(A42,fuzzifikasi!$A:$M,5,FALSE)))</f>
        <v>0</v>
      </c>
      <c r="E42">
        <f>IF(VLOOKUP(B42,'aturan_fuzzy (rule)'!$A$2:$E$28,3,FALSE)="Rendah",VLOOKUP(A42,fuzzifikasi!$A:$M,7,FALSE),IF(VLOOKUP(B42,'aturan_fuzzy (rule)'!$A$2:$E$28,3,FALSE)="Sedang",VLOOKUP(A42,fuzzifikasi!$A:$M,8,FALSE),VLOOKUP(A42,fuzzifikasi!$A:$M,9,FALSE)))</f>
        <v>0</v>
      </c>
      <c r="F42">
        <f>IF(VLOOKUP(B42,'aturan_fuzzy (rule)'!$A$2:$E$28,4,FALSE)="Rendah",VLOOKUP(A42,fuzzifikasi!$A:$M,11,FALSE),IF(VLOOKUP(B42,'aturan_fuzzy (rule)'!$A$2:$E$28,4,FALSE)="Sedang",VLOOKUP(A42,fuzzifikasi!$A:$M,12,FALSE),VLOOKUP(A42,fuzzifikasi!$A:$M,13,FALSE)))</f>
        <v>0</v>
      </c>
      <c r="G42">
        <f t="shared" si="0"/>
        <v>0</v>
      </c>
      <c r="H42">
        <f t="shared" si="1"/>
        <v>40</v>
      </c>
      <c r="I42">
        <f t="shared" si="2"/>
        <v>0</v>
      </c>
    </row>
    <row r="43" spans="1:9" x14ac:dyDescent="0.3">
      <c r="A43" t="s">
        <v>16</v>
      </c>
      <c r="B43" s="1" t="s">
        <v>56</v>
      </c>
      <c r="C43" s="1" t="s">
        <v>41</v>
      </c>
      <c r="D43">
        <f>IF(VLOOKUP(B43,'aturan_fuzzy (rule)'!$A$2:$E$28,2,FALSE)="Rendah",VLOOKUP(A43,fuzzifikasi!$A:$M,3,FALSE),IF(VLOOKUP(B43,'aturan_fuzzy (rule)'!$A$2:$E$28,2,FALSE)="Sedang",VLOOKUP(A43,fuzzifikasi!$A:$M,4,FALSE),VLOOKUP(A43,fuzzifikasi!$A:$M,5,FALSE)))</f>
        <v>0</v>
      </c>
      <c r="E43">
        <f>IF(VLOOKUP(B43,'aturan_fuzzy (rule)'!$A$2:$E$28,3,FALSE)="Rendah",VLOOKUP(A43,fuzzifikasi!$A:$M,7,FALSE),IF(VLOOKUP(B43,'aturan_fuzzy (rule)'!$A$2:$E$28,3,FALSE)="Sedang",VLOOKUP(A43,fuzzifikasi!$A:$M,8,FALSE),VLOOKUP(A43,fuzzifikasi!$A:$M,9,FALSE)))</f>
        <v>0</v>
      </c>
      <c r="F43">
        <f>IF(VLOOKUP(B43,'aturan_fuzzy (rule)'!$A$2:$E$28,4,FALSE)="Rendah",VLOOKUP(A43,fuzzifikasi!$A:$M,11,FALSE),IF(VLOOKUP(B43,'aturan_fuzzy (rule)'!$A$2:$E$28,4,FALSE)="Sedang",VLOOKUP(A43,fuzzifikasi!$A:$M,12,FALSE),VLOOKUP(A43,fuzzifikasi!$A:$M,13,FALSE)))</f>
        <v>0</v>
      </c>
      <c r="G43">
        <f t="shared" si="0"/>
        <v>0</v>
      </c>
      <c r="H43">
        <f t="shared" si="1"/>
        <v>40</v>
      </c>
      <c r="I43">
        <f t="shared" si="2"/>
        <v>0</v>
      </c>
    </row>
    <row r="44" spans="1:9" x14ac:dyDescent="0.3">
      <c r="A44" t="s">
        <v>16</v>
      </c>
      <c r="B44" s="1" t="s">
        <v>57</v>
      </c>
      <c r="C44" s="1" t="s">
        <v>44</v>
      </c>
      <c r="D44">
        <f>IF(VLOOKUP(B44,'aturan_fuzzy (rule)'!$A$2:$E$28,2,FALSE)="Rendah",VLOOKUP(A44,fuzzifikasi!$A:$M,3,FALSE),IF(VLOOKUP(B44,'aturan_fuzzy (rule)'!$A$2:$E$28,2,FALSE)="Sedang",VLOOKUP(A44,fuzzifikasi!$A:$M,4,FALSE),VLOOKUP(A44,fuzzifikasi!$A:$M,5,FALSE)))</f>
        <v>0</v>
      </c>
      <c r="E44">
        <f>IF(VLOOKUP(B44,'aturan_fuzzy (rule)'!$A$2:$E$28,3,FALSE)="Rendah",VLOOKUP(A44,fuzzifikasi!$A:$M,7,FALSE),IF(VLOOKUP(B44,'aturan_fuzzy (rule)'!$A$2:$E$28,3,FALSE)="Sedang",VLOOKUP(A44,fuzzifikasi!$A:$M,8,FALSE),VLOOKUP(A44,fuzzifikasi!$A:$M,9,FALSE)))</f>
        <v>0</v>
      </c>
      <c r="F44">
        <f>IF(VLOOKUP(B44,'aturan_fuzzy (rule)'!$A$2:$E$28,4,FALSE)="Rendah",VLOOKUP(A44,fuzzifikasi!$A:$M,11,FALSE),IF(VLOOKUP(B44,'aturan_fuzzy (rule)'!$A$2:$E$28,4,FALSE)="Sedang",VLOOKUP(A44,fuzzifikasi!$A:$M,12,FALSE),VLOOKUP(A44,fuzzifikasi!$A:$M,13,FALSE)))</f>
        <v>1</v>
      </c>
      <c r="G44">
        <f t="shared" si="0"/>
        <v>0</v>
      </c>
      <c r="H44">
        <f t="shared" si="1"/>
        <v>70</v>
      </c>
      <c r="I44">
        <f t="shared" si="2"/>
        <v>0</v>
      </c>
    </row>
    <row r="45" spans="1:9" x14ac:dyDescent="0.3">
      <c r="A45" t="s">
        <v>16</v>
      </c>
      <c r="B45" s="1" t="s">
        <v>58</v>
      </c>
      <c r="C45" s="1" t="s">
        <v>41</v>
      </c>
      <c r="D45">
        <f>IF(VLOOKUP(B45,'aturan_fuzzy (rule)'!$A$2:$E$28,2,FALSE)="Rendah",VLOOKUP(A45,fuzzifikasi!$A:$M,3,FALSE),IF(VLOOKUP(B45,'aturan_fuzzy (rule)'!$A$2:$E$28,2,FALSE)="Sedang",VLOOKUP(A45,fuzzifikasi!$A:$M,4,FALSE),VLOOKUP(A45,fuzzifikasi!$A:$M,5,FALSE)))</f>
        <v>0</v>
      </c>
      <c r="E45">
        <f>IF(VLOOKUP(B45,'aturan_fuzzy (rule)'!$A$2:$E$28,3,FALSE)="Rendah",VLOOKUP(A45,fuzzifikasi!$A:$M,7,FALSE),IF(VLOOKUP(B45,'aturan_fuzzy (rule)'!$A$2:$E$28,3,FALSE)="Sedang",VLOOKUP(A45,fuzzifikasi!$A:$M,8,FALSE),VLOOKUP(A45,fuzzifikasi!$A:$M,9,FALSE)))</f>
        <v>1</v>
      </c>
      <c r="F45">
        <f>IF(VLOOKUP(B45,'aturan_fuzzy (rule)'!$A$2:$E$28,4,FALSE)="Rendah",VLOOKUP(A45,fuzzifikasi!$A:$M,11,FALSE),IF(VLOOKUP(B45,'aturan_fuzzy (rule)'!$A$2:$E$28,4,FALSE)="Sedang",VLOOKUP(A45,fuzzifikasi!$A:$M,12,FALSE),VLOOKUP(A45,fuzzifikasi!$A:$M,13,FALSE)))</f>
        <v>0</v>
      </c>
      <c r="G45">
        <f t="shared" si="0"/>
        <v>0</v>
      </c>
      <c r="H45">
        <f t="shared" si="1"/>
        <v>40</v>
      </c>
      <c r="I45">
        <f t="shared" si="2"/>
        <v>0</v>
      </c>
    </row>
    <row r="46" spans="1:9" x14ac:dyDescent="0.3">
      <c r="A46" t="s">
        <v>16</v>
      </c>
      <c r="B46" s="1" t="s">
        <v>59</v>
      </c>
      <c r="C46" s="1" t="s">
        <v>44</v>
      </c>
      <c r="D46">
        <f>IF(VLOOKUP(B46,'aturan_fuzzy (rule)'!$A$2:$E$28,2,FALSE)="Rendah",VLOOKUP(A46,fuzzifikasi!$A:$M,3,FALSE),IF(VLOOKUP(B46,'aturan_fuzzy (rule)'!$A$2:$E$28,2,FALSE)="Sedang",VLOOKUP(A46,fuzzifikasi!$A:$M,4,FALSE),VLOOKUP(A46,fuzzifikasi!$A:$M,5,FALSE)))</f>
        <v>0</v>
      </c>
      <c r="E46">
        <f>IF(VLOOKUP(B46,'aturan_fuzzy (rule)'!$A$2:$E$28,3,FALSE)="Rendah",VLOOKUP(A46,fuzzifikasi!$A:$M,7,FALSE),IF(VLOOKUP(B46,'aturan_fuzzy (rule)'!$A$2:$E$28,3,FALSE)="Sedang",VLOOKUP(A46,fuzzifikasi!$A:$M,8,FALSE),VLOOKUP(A46,fuzzifikasi!$A:$M,9,FALSE)))</f>
        <v>1</v>
      </c>
      <c r="F46">
        <f>IF(VLOOKUP(B46,'aturan_fuzzy (rule)'!$A$2:$E$28,4,FALSE)="Rendah",VLOOKUP(A46,fuzzifikasi!$A:$M,11,FALSE),IF(VLOOKUP(B46,'aturan_fuzzy (rule)'!$A$2:$E$28,4,FALSE)="Sedang",VLOOKUP(A46,fuzzifikasi!$A:$M,12,FALSE),VLOOKUP(A46,fuzzifikasi!$A:$M,13,FALSE)))</f>
        <v>0</v>
      </c>
      <c r="G46">
        <f t="shared" si="0"/>
        <v>0</v>
      </c>
      <c r="H46">
        <f t="shared" si="1"/>
        <v>70</v>
      </c>
      <c r="I46">
        <f t="shared" si="2"/>
        <v>0</v>
      </c>
    </row>
    <row r="47" spans="1:9" x14ac:dyDescent="0.3">
      <c r="A47" t="s">
        <v>16</v>
      </c>
      <c r="B47" s="1" t="s">
        <v>60</v>
      </c>
      <c r="C47" s="1" t="s">
        <v>44</v>
      </c>
      <c r="D47">
        <f>IF(VLOOKUP(B47,'aturan_fuzzy (rule)'!$A$2:$E$28,2,FALSE)="Rendah",VLOOKUP(A47,fuzzifikasi!$A:$M,3,FALSE),IF(VLOOKUP(B47,'aturan_fuzzy (rule)'!$A$2:$E$28,2,FALSE)="Sedang",VLOOKUP(A47,fuzzifikasi!$A:$M,4,FALSE),VLOOKUP(A47,fuzzifikasi!$A:$M,5,FALSE)))</f>
        <v>0</v>
      </c>
      <c r="E47">
        <f>IF(VLOOKUP(B47,'aturan_fuzzy (rule)'!$A$2:$E$28,3,FALSE)="Rendah",VLOOKUP(A47,fuzzifikasi!$A:$M,7,FALSE),IF(VLOOKUP(B47,'aturan_fuzzy (rule)'!$A$2:$E$28,3,FALSE)="Sedang",VLOOKUP(A47,fuzzifikasi!$A:$M,8,FALSE),VLOOKUP(A47,fuzzifikasi!$A:$M,9,FALSE)))</f>
        <v>1</v>
      </c>
      <c r="F47">
        <f>IF(VLOOKUP(B47,'aturan_fuzzy (rule)'!$A$2:$E$28,4,FALSE)="Rendah",VLOOKUP(A47,fuzzifikasi!$A:$M,11,FALSE),IF(VLOOKUP(B47,'aturan_fuzzy (rule)'!$A$2:$E$28,4,FALSE)="Sedang",VLOOKUP(A47,fuzzifikasi!$A:$M,12,FALSE),VLOOKUP(A47,fuzzifikasi!$A:$M,13,FALSE)))</f>
        <v>1</v>
      </c>
      <c r="G47">
        <f t="shared" si="0"/>
        <v>0</v>
      </c>
      <c r="H47">
        <f t="shared" si="1"/>
        <v>70</v>
      </c>
      <c r="I47">
        <f t="shared" si="2"/>
        <v>0</v>
      </c>
    </row>
    <row r="48" spans="1:9" x14ac:dyDescent="0.3">
      <c r="A48" t="s">
        <v>16</v>
      </c>
      <c r="B48" s="1" t="s">
        <v>61</v>
      </c>
      <c r="C48" s="1" t="s">
        <v>52</v>
      </c>
      <c r="D48">
        <f>IF(VLOOKUP(B48,'aturan_fuzzy (rule)'!$A$2:$E$28,2,FALSE)="Rendah",VLOOKUP(A48,fuzzifikasi!$A:$M,3,FALSE),IF(VLOOKUP(B48,'aturan_fuzzy (rule)'!$A$2:$E$28,2,FALSE)="Sedang",VLOOKUP(A48,fuzzifikasi!$A:$M,4,FALSE),VLOOKUP(A48,fuzzifikasi!$A:$M,5,FALSE)))</f>
        <v>0</v>
      </c>
      <c r="E48">
        <f>IF(VLOOKUP(B48,'aturan_fuzzy (rule)'!$A$2:$E$28,3,FALSE)="Rendah",VLOOKUP(A48,fuzzifikasi!$A:$M,7,FALSE),IF(VLOOKUP(B48,'aturan_fuzzy (rule)'!$A$2:$E$28,3,FALSE)="Sedang",VLOOKUP(A48,fuzzifikasi!$A:$M,8,FALSE),VLOOKUP(A48,fuzzifikasi!$A:$M,9,FALSE)))</f>
        <v>0</v>
      </c>
      <c r="F48">
        <f>IF(VLOOKUP(B48,'aturan_fuzzy (rule)'!$A$2:$E$28,4,FALSE)="Rendah",VLOOKUP(A48,fuzzifikasi!$A:$M,11,FALSE),IF(VLOOKUP(B48,'aturan_fuzzy (rule)'!$A$2:$E$28,4,FALSE)="Sedang",VLOOKUP(A48,fuzzifikasi!$A:$M,12,FALSE),VLOOKUP(A48,fuzzifikasi!$A:$M,13,FALSE)))</f>
        <v>0</v>
      </c>
      <c r="G48">
        <f t="shared" si="0"/>
        <v>0</v>
      </c>
      <c r="H48">
        <f t="shared" si="1"/>
        <v>40</v>
      </c>
      <c r="I48">
        <f t="shared" si="2"/>
        <v>0</v>
      </c>
    </row>
    <row r="49" spans="1:9" x14ac:dyDescent="0.3">
      <c r="A49" t="s">
        <v>16</v>
      </c>
      <c r="B49" s="1" t="s">
        <v>62</v>
      </c>
      <c r="C49" s="1" t="s">
        <v>52</v>
      </c>
      <c r="D49">
        <f>IF(VLOOKUP(B49,'aturan_fuzzy (rule)'!$A$2:$E$28,2,FALSE)="Rendah",VLOOKUP(A49,fuzzifikasi!$A:$M,3,FALSE),IF(VLOOKUP(B49,'aturan_fuzzy (rule)'!$A$2:$E$28,2,FALSE)="Sedang",VLOOKUP(A49,fuzzifikasi!$A:$M,4,FALSE),VLOOKUP(A49,fuzzifikasi!$A:$M,5,FALSE)))</f>
        <v>0</v>
      </c>
      <c r="E49">
        <f>IF(VLOOKUP(B49,'aturan_fuzzy (rule)'!$A$2:$E$28,3,FALSE)="Rendah",VLOOKUP(A49,fuzzifikasi!$A:$M,7,FALSE),IF(VLOOKUP(B49,'aturan_fuzzy (rule)'!$A$2:$E$28,3,FALSE)="Sedang",VLOOKUP(A49,fuzzifikasi!$A:$M,8,FALSE),VLOOKUP(A49,fuzzifikasi!$A:$M,9,FALSE)))</f>
        <v>0</v>
      </c>
      <c r="F49">
        <f>IF(VLOOKUP(B49,'aturan_fuzzy (rule)'!$A$2:$E$28,4,FALSE)="Rendah",VLOOKUP(A49,fuzzifikasi!$A:$M,11,FALSE),IF(VLOOKUP(B49,'aturan_fuzzy (rule)'!$A$2:$E$28,4,FALSE)="Sedang",VLOOKUP(A49,fuzzifikasi!$A:$M,12,FALSE),VLOOKUP(A49,fuzzifikasi!$A:$M,13,FALSE)))</f>
        <v>0</v>
      </c>
      <c r="G49">
        <f t="shared" si="0"/>
        <v>0</v>
      </c>
      <c r="H49">
        <f t="shared" si="1"/>
        <v>40</v>
      </c>
      <c r="I49">
        <f t="shared" si="2"/>
        <v>0</v>
      </c>
    </row>
    <row r="50" spans="1:9" x14ac:dyDescent="0.3">
      <c r="A50" t="s">
        <v>16</v>
      </c>
      <c r="B50" s="1" t="s">
        <v>63</v>
      </c>
      <c r="C50" s="1" t="s">
        <v>41</v>
      </c>
      <c r="D50">
        <f>IF(VLOOKUP(B50,'aturan_fuzzy (rule)'!$A$2:$E$28,2,FALSE)="Rendah",VLOOKUP(A50,fuzzifikasi!$A:$M,3,FALSE),IF(VLOOKUP(B50,'aturan_fuzzy (rule)'!$A$2:$E$28,2,FALSE)="Sedang",VLOOKUP(A50,fuzzifikasi!$A:$M,4,FALSE),VLOOKUP(A50,fuzzifikasi!$A:$M,5,FALSE)))</f>
        <v>0</v>
      </c>
      <c r="E50">
        <f>IF(VLOOKUP(B50,'aturan_fuzzy (rule)'!$A$2:$E$28,3,FALSE)="Rendah",VLOOKUP(A50,fuzzifikasi!$A:$M,7,FALSE),IF(VLOOKUP(B50,'aturan_fuzzy (rule)'!$A$2:$E$28,3,FALSE)="Sedang",VLOOKUP(A50,fuzzifikasi!$A:$M,8,FALSE),VLOOKUP(A50,fuzzifikasi!$A:$M,9,FALSE)))</f>
        <v>0</v>
      </c>
      <c r="F50">
        <f>IF(VLOOKUP(B50,'aturan_fuzzy (rule)'!$A$2:$E$28,4,FALSE)="Rendah",VLOOKUP(A50,fuzzifikasi!$A:$M,11,FALSE),IF(VLOOKUP(B50,'aturan_fuzzy (rule)'!$A$2:$E$28,4,FALSE)="Sedang",VLOOKUP(A50,fuzzifikasi!$A:$M,12,FALSE),VLOOKUP(A50,fuzzifikasi!$A:$M,13,FALSE)))</f>
        <v>1</v>
      </c>
      <c r="G50">
        <f t="shared" si="0"/>
        <v>0</v>
      </c>
      <c r="H50">
        <f t="shared" si="1"/>
        <v>40</v>
      </c>
      <c r="I50">
        <f t="shared" si="2"/>
        <v>0</v>
      </c>
    </row>
    <row r="51" spans="1:9" x14ac:dyDescent="0.3">
      <c r="A51" t="s">
        <v>16</v>
      </c>
      <c r="B51" s="1" t="s">
        <v>64</v>
      </c>
      <c r="C51" s="1" t="s">
        <v>52</v>
      </c>
      <c r="D51">
        <f>IF(VLOOKUP(B51,'aturan_fuzzy (rule)'!$A$2:$E$28,2,FALSE)="Rendah",VLOOKUP(A51,fuzzifikasi!$A:$M,3,FALSE),IF(VLOOKUP(B51,'aturan_fuzzy (rule)'!$A$2:$E$28,2,FALSE)="Sedang",VLOOKUP(A51,fuzzifikasi!$A:$M,4,FALSE),VLOOKUP(A51,fuzzifikasi!$A:$M,5,FALSE)))</f>
        <v>0</v>
      </c>
      <c r="E51">
        <f>IF(VLOOKUP(B51,'aturan_fuzzy (rule)'!$A$2:$E$28,3,FALSE)="Rendah",VLOOKUP(A51,fuzzifikasi!$A:$M,7,FALSE),IF(VLOOKUP(B51,'aturan_fuzzy (rule)'!$A$2:$E$28,3,FALSE)="Sedang",VLOOKUP(A51,fuzzifikasi!$A:$M,8,FALSE),VLOOKUP(A51,fuzzifikasi!$A:$M,9,FALSE)))</f>
        <v>0</v>
      </c>
      <c r="F51">
        <f>IF(VLOOKUP(B51,'aturan_fuzzy (rule)'!$A$2:$E$28,4,FALSE)="Rendah",VLOOKUP(A51,fuzzifikasi!$A:$M,11,FALSE),IF(VLOOKUP(B51,'aturan_fuzzy (rule)'!$A$2:$E$28,4,FALSE)="Sedang",VLOOKUP(A51,fuzzifikasi!$A:$M,12,FALSE),VLOOKUP(A51,fuzzifikasi!$A:$M,13,FALSE)))</f>
        <v>0</v>
      </c>
      <c r="G51">
        <f t="shared" si="0"/>
        <v>0</v>
      </c>
      <c r="H51">
        <f t="shared" si="1"/>
        <v>40</v>
      </c>
      <c r="I51">
        <f t="shared" si="2"/>
        <v>0</v>
      </c>
    </row>
    <row r="52" spans="1:9" x14ac:dyDescent="0.3">
      <c r="A52" t="s">
        <v>16</v>
      </c>
      <c r="B52" s="1" t="s">
        <v>65</v>
      </c>
      <c r="C52" s="1" t="s">
        <v>41</v>
      </c>
      <c r="D52">
        <f>IF(VLOOKUP(B52,'aturan_fuzzy (rule)'!$A$2:$E$28,2,FALSE)="Rendah",VLOOKUP(A52,fuzzifikasi!$A:$M,3,FALSE),IF(VLOOKUP(B52,'aturan_fuzzy (rule)'!$A$2:$E$28,2,FALSE)="Sedang",VLOOKUP(A52,fuzzifikasi!$A:$M,4,FALSE),VLOOKUP(A52,fuzzifikasi!$A:$M,5,FALSE)))</f>
        <v>0</v>
      </c>
      <c r="E52">
        <f>IF(VLOOKUP(B52,'aturan_fuzzy (rule)'!$A$2:$E$28,3,FALSE)="Rendah",VLOOKUP(A52,fuzzifikasi!$A:$M,7,FALSE),IF(VLOOKUP(B52,'aturan_fuzzy (rule)'!$A$2:$E$28,3,FALSE)="Sedang",VLOOKUP(A52,fuzzifikasi!$A:$M,8,FALSE),VLOOKUP(A52,fuzzifikasi!$A:$M,9,FALSE)))</f>
        <v>0</v>
      </c>
      <c r="F52">
        <f>IF(VLOOKUP(B52,'aturan_fuzzy (rule)'!$A$2:$E$28,4,FALSE)="Rendah",VLOOKUP(A52,fuzzifikasi!$A:$M,11,FALSE),IF(VLOOKUP(B52,'aturan_fuzzy (rule)'!$A$2:$E$28,4,FALSE)="Sedang",VLOOKUP(A52,fuzzifikasi!$A:$M,12,FALSE),VLOOKUP(A52,fuzzifikasi!$A:$M,13,FALSE)))</f>
        <v>0</v>
      </c>
      <c r="G52">
        <f t="shared" si="0"/>
        <v>0</v>
      </c>
      <c r="H52">
        <f t="shared" si="1"/>
        <v>40</v>
      </c>
      <c r="I52">
        <f t="shared" si="2"/>
        <v>0</v>
      </c>
    </row>
    <row r="53" spans="1:9" x14ac:dyDescent="0.3">
      <c r="A53" t="s">
        <v>16</v>
      </c>
      <c r="B53" s="1" t="s">
        <v>66</v>
      </c>
      <c r="C53" s="1" t="s">
        <v>41</v>
      </c>
      <c r="D53">
        <f>IF(VLOOKUP(B53,'aturan_fuzzy (rule)'!$A$2:$E$28,2,FALSE)="Rendah",VLOOKUP(A53,fuzzifikasi!$A:$M,3,FALSE),IF(VLOOKUP(B53,'aturan_fuzzy (rule)'!$A$2:$E$28,2,FALSE)="Sedang",VLOOKUP(A53,fuzzifikasi!$A:$M,4,FALSE),VLOOKUP(A53,fuzzifikasi!$A:$M,5,FALSE)))</f>
        <v>0</v>
      </c>
      <c r="E53">
        <f>IF(VLOOKUP(B53,'aturan_fuzzy (rule)'!$A$2:$E$28,3,FALSE)="Rendah",VLOOKUP(A53,fuzzifikasi!$A:$M,7,FALSE),IF(VLOOKUP(B53,'aturan_fuzzy (rule)'!$A$2:$E$28,3,FALSE)="Sedang",VLOOKUP(A53,fuzzifikasi!$A:$M,8,FALSE),VLOOKUP(A53,fuzzifikasi!$A:$M,9,FALSE)))</f>
        <v>0</v>
      </c>
      <c r="F53">
        <f>IF(VLOOKUP(B53,'aturan_fuzzy (rule)'!$A$2:$E$28,4,FALSE)="Rendah",VLOOKUP(A53,fuzzifikasi!$A:$M,11,FALSE),IF(VLOOKUP(B53,'aturan_fuzzy (rule)'!$A$2:$E$28,4,FALSE)="Sedang",VLOOKUP(A53,fuzzifikasi!$A:$M,12,FALSE),VLOOKUP(A53,fuzzifikasi!$A:$M,13,FALSE)))</f>
        <v>1</v>
      </c>
      <c r="G53">
        <f t="shared" si="0"/>
        <v>0</v>
      </c>
      <c r="H53">
        <f t="shared" si="1"/>
        <v>40</v>
      </c>
      <c r="I53">
        <f t="shared" si="2"/>
        <v>0</v>
      </c>
    </row>
    <row r="54" spans="1:9" x14ac:dyDescent="0.3">
      <c r="A54" t="s">
        <v>16</v>
      </c>
      <c r="B54" s="1" t="s">
        <v>67</v>
      </c>
      <c r="C54" s="1" t="s">
        <v>41</v>
      </c>
      <c r="D54">
        <f>IF(VLOOKUP(B54,'aturan_fuzzy (rule)'!$A$2:$E$28,2,FALSE)="Rendah",VLOOKUP(A54,fuzzifikasi!$A:$M,3,FALSE),IF(VLOOKUP(B54,'aturan_fuzzy (rule)'!$A$2:$E$28,2,FALSE)="Sedang",VLOOKUP(A54,fuzzifikasi!$A:$M,4,FALSE),VLOOKUP(A54,fuzzifikasi!$A:$M,5,FALSE)))</f>
        <v>0</v>
      </c>
      <c r="E54">
        <f>IF(VLOOKUP(B54,'aturan_fuzzy (rule)'!$A$2:$E$28,3,FALSE)="Rendah",VLOOKUP(A54,fuzzifikasi!$A:$M,7,FALSE),IF(VLOOKUP(B54,'aturan_fuzzy (rule)'!$A$2:$E$28,3,FALSE)="Sedang",VLOOKUP(A54,fuzzifikasi!$A:$M,8,FALSE),VLOOKUP(A54,fuzzifikasi!$A:$M,9,FALSE)))</f>
        <v>1</v>
      </c>
      <c r="F54">
        <f>IF(VLOOKUP(B54,'aturan_fuzzy (rule)'!$A$2:$E$28,4,FALSE)="Rendah",VLOOKUP(A54,fuzzifikasi!$A:$M,11,FALSE),IF(VLOOKUP(B54,'aturan_fuzzy (rule)'!$A$2:$E$28,4,FALSE)="Sedang",VLOOKUP(A54,fuzzifikasi!$A:$M,12,FALSE),VLOOKUP(A54,fuzzifikasi!$A:$M,13,FALSE)))</f>
        <v>0</v>
      </c>
      <c r="G54">
        <f t="shared" si="0"/>
        <v>0</v>
      </c>
      <c r="H54">
        <f t="shared" si="1"/>
        <v>40</v>
      </c>
      <c r="I54">
        <f t="shared" si="2"/>
        <v>0</v>
      </c>
    </row>
    <row r="55" spans="1:9" x14ac:dyDescent="0.3">
      <c r="A55" t="s">
        <v>16</v>
      </c>
      <c r="B55" s="1" t="s">
        <v>68</v>
      </c>
      <c r="C55" s="1" t="s">
        <v>41</v>
      </c>
      <c r="D55">
        <f>IF(VLOOKUP(B55,'aturan_fuzzy (rule)'!$A$2:$E$28,2,FALSE)="Rendah",VLOOKUP(A55,fuzzifikasi!$A:$M,3,FALSE),IF(VLOOKUP(B55,'aturan_fuzzy (rule)'!$A$2:$E$28,2,FALSE)="Sedang",VLOOKUP(A55,fuzzifikasi!$A:$M,4,FALSE),VLOOKUP(A55,fuzzifikasi!$A:$M,5,FALSE)))</f>
        <v>0</v>
      </c>
      <c r="E55">
        <f>IF(VLOOKUP(B55,'aturan_fuzzy (rule)'!$A$2:$E$28,3,FALSE)="Rendah",VLOOKUP(A55,fuzzifikasi!$A:$M,7,FALSE),IF(VLOOKUP(B55,'aturan_fuzzy (rule)'!$A$2:$E$28,3,FALSE)="Sedang",VLOOKUP(A55,fuzzifikasi!$A:$M,8,FALSE),VLOOKUP(A55,fuzzifikasi!$A:$M,9,FALSE)))</f>
        <v>1</v>
      </c>
      <c r="F55">
        <f>IF(VLOOKUP(B55,'aturan_fuzzy (rule)'!$A$2:$E$28,4,FALSE)="Rendah",VLOOKUP(A55,fuzzifikasi!$A:$M,11,FALSE),IF(VLOOKUP(B55,'aturan_fuzzy (rule)'!$A$2:$E$28,4,FALSE)="Sedang",VLOOKUP(A55,fuzzifikasi!$A:$M,12,FALSE),VLOOKUP(A55,fuzzifikasi!$A:$M,13,FALSE)))</f>
        <v>0</v>
      </c>
      <c r="G55">
        <f t="shared" si="0"/>
        <v>0</v>
      </c>
      <c r="H55">
        <f t="shared" si="1"/>
        <v>40</v>
      </c>
      <c r="I55">
        <f t="shared" si="2"/>
        <v>0</v>
      </c>
    </row>
    <row r="56" spans="1:9" x14ac:dyDescent="0.3">
      <c r="A56" t="s">
        <v>16</v>
      </c>
      <c r="B56" s="1" t="s">
        <v>69</v>
      </c>
      <c r="C56" s="1" t="s">
        <v>44</v>
      </c>
      <c r="D56">
        <f>IF(VLOOKUP(B56,'aturan_fuzzy (rule)'!$A$2:$E$28,2,FALSE)="Rendah",VLOOKUP(A56,fuzzifikasi!$A:$M,3,FALSE),IF(VLOOKUP(B56,'aturan_fuzzy (rule)'!$A$2:$E$28,2,FALSE)="Sedang",VLOOKUP(A56,fuzzifikasi!$A:$M,4,FALSE),VLOOKUP(A56,fuzzifikasi!$A:$M,5,FALSE)))</f>
        <v>0</v>
      </c>
      <c r="E56">
        <f>IF(VLOOKUP(B56,'aturan_fuzzy (rule)'!$A$2:$E$28,3,FALSE)="Rendah",VLOOKUP(A56,fuzzifikasi!$A:$M,7,FALSE),IF(VLOOKUP(B56,'aturan_fuzzy (rule)'!$A$2:$E$28,3,FALSE)="Sedang",VLOOKUP(A56,fuzzifikasi!$A:$M,8,FALSE),VLOOKUP(A56,fuzzifikasi!$A:$M,9,FALSE)))</f>
        <v>1</v>
      </c>
      <c r="F56">
        <f>IF(VLOOKUP(B56,'aturan_fuzzy (rule)'!$A$2:$E$28,4,FALSE)="Rendah",VLOOKUP(A56,fuzzifikasi!$A:$M,11,FALSE),IF(VLOOKUP(B56,'aturan_fuzzy (rule)'!$A$2:$E$28,4,FALSE)="Sedang",VLOOKUP(A56,fuzzifikasi!$A:$M,12,FALSE),VLOOKUP(A56,fuzzifikasi!$A:$M,13,FALSE)))</f>
        <v>1</v>
      </c>
      <c r="G56">
        <f t="shared" si="0"/>
        <v>0</v>
      </c>
      <c r="H56">
        <f t="shared" si="1"/>
        <v>70</v>
      </c>
      <c r="I56">
        <f t="shared" si="2"/>
        <v>0</v>
      </c>
    </row>
    <row r="58" spans="1:9" x14ac:dyDescent="0.3">
      <c r="A58" t="s">
        <v>18</v>
      </c>
      <c r="B58" s="1" t="s">
        <v>40</v>
      </c>
      <c r="C58" s="1" t="s">
        <v>41</v>
      </c>
      <c r="D58">
        <f>IF(VLOOKUP(B58,'aturan_fuzzy (rule)'!$A$2:$E$28,2,FALSE)="Rendah",VLOOKUP(A58,fuzzifikasi!$A:$M,3,FALSE),IF(VLOOKUP(B58,'aturan_fuzzy (rule)'!$A$2:$E$28,2,FALSE)="Sedang",VLOOKUP(A58,fuzzifikasi!$A:$M,4,FALSE),VLOOKUP(A58,fuzzifikasi!$A:$M,5,FALSE)))</f>
        <v>1</v>
      </c>
      <c r="E58">
        <f>IF(VLOOKUP(B58,'aturan_fuzzy (rule)'!$A$2:$E$28,3,FALSE)="Rendah",VLOOKUP(A58,fuzzifikasi!$A:$M,7,FALSE),IF(VLOOKUP(B58,'aturan_fuzzy (rule)'!$A$2:$E$28,3,FALSE)="Sedang",VLOOKUP(A58,fuzzifikasi!$A:$M,8,FALSE),VLOOKUP(A58,fuzzifikasi!$A:$M,9,FALSE)))</f>
        <v>0.158444</v>
      </c>
      <c r="F58">
        <f>IF(VLOOKUP(B58,'aturan_fuzzy (rule)'!$A$2:$E$28,4,FALSE)="Rendah",VLOOKUP(A58,fuzzifikasi!$A:$M,11,FALSE),IF(VLOOKUP(B58,'aturan_fuzzy (rule)'!$A$2:$E$28,4,FALSE)="Sedang",VLOOKUP(A58,fuzzifikasi!$A:$M,12,FALSE),VLOOKUP(A58,fuzzifikasi!$A:$M,13,FALSE)))</f>
        <v>0</v>
      </c>
      <c r="G58">
        <f t="shared" si="0"/>
        <v>0</v>
      </c>
      <c r="H58">
        <f t="shared" si="1"/>
        <v>40</v>
      </c>
      <c r="I58">
        <f t="shared" si="2"/>
        <v>0</v>
      </c>
    </row>
    <row r="59" spans="1:9" x14ac:dyDescent="0.3">
      <c r="A59" t="s">
        <v>18</v>
      </c>
      <c r="B59" s="1" t="s">
        <v>42</v>
      </c>
      <c r="C59" s="1" t="s">
        <v>41</v>
      </c>
      <c r="D59">
        <f>IF(VLOOKUP(B59,'aturan_fuzzy (rule)'!$A$2:$E$28,2,FALSE)="Rendah",VLOOKUP(A59,fuzzifikasi!$A:$M,3,FALSE),IF(VLOOKUP(B59,'aturan_fuzzy (rule)'!$A$2:$E$28,2,FALSE)="Sedang",VLOOKUP(A59,fuzzifikasi!$A:$M,4,FALSE),VLOOKUP(A59,fuzzifikasi!$A:$M,5,FALSE)))</f>
        <v>1</v>
      </c>
      <c r="E59">
        <f>IF(VLOOKUP(B59,'aturan_fuzzy (rule)'!$A$2:$E$28,3,FALSE)="Rendah",VLOOKUP(A59,fuzzifikasi!$A:$M,7,FALSE),IF(VLOOKUP(B59,'aturan_fuzzy (rule)'!$A$2:$E$28,3,FALSE)="Sedang",VLOOKUP(A59,fuzzifikasi!$A:$M,8,FALSE),VLOOKUP(A59,fuzzifikasi!$A:$M,9,FALSE)))</f>
        <v>0.158444</v>
      </c>
      <c r="F59">
        <f>IF(VLOOKUP(B59,'aturan_fuzzy (rule)'!$A$2:$E$28,4,FALSE)="Rendah",VLOOKUP(A59,fuzzifikasi!$A:$M,11,FALSE),IF(VLOOKUP(B59,'aturan_fuzzy (rule)'!$A$2:$E$28,4,FALSE)="Sedang",VLOOKUP(A59,fuzzifikasi!$A:$M,12,FALSE),VLOOKUP(A59,fuzzifikasi!$A:$M,13,FALSE)))</f>
        <v>1</v>
      </c>
      <c r="G59">
        <f t="shared" si="0"/>
        <v>0.158444</v>
      </c>
      <c r="H59">
        <f t="shared" si="1"/>
        <v>44.753320000000002</v>
      </c>
      <c r="I59">
        <f t="shared" si="2"/>
        <v>7.0908950340800008</v>
      </c>
    </row>
    <row r="60" spans="1:9" x14ac:dyDescent="0.3">
      <c r="A60" t="s">
        <v>18</v>
      </c>
      <c r="B60" s="1" t="s">
        <v>43</v>
      </c>
      <c r="C60" s="1" t="s">
        <v>44</v>
      </c>
      <c r="D60">
        <f>IF(VLOOKUP(B60,'aturan_fuzzy (rule)'!$A$2:$E$28,2,FALSE)="Rendah",VLOOKUP(A60,fuzzifikasi!$A:$M,3,FALSE),IF(VLOOKUP(B60,'aturan_fuzzy (rule)'!$A$2:$E$28,2,FALSE)="Sedang",VLOOKUP(A60,fuzzifikasi!$A:$M,4,FALSE),VLOOKUP(A60,fuzzifikasi!$A:$M,5,FALSE)))</f>
        <v>1</v>
      </c>
      <c r="E60">
        <f>IF(VLOOKUP(B60,'aturan_fuzzy (rule)'!$A$2:$E$28,3,FALSE)="Rendah",VLOOKUP(A60,fuzzifikasi!$A:$M,7,FALSE),IF(VLOOKUP(B60,'aturan_fuzzy (rule)'!$A$2:$E$28,3,FALSE)="Sedang",VLOOKUP(A60,fuzzifikasi!$A:$M,8,FALSE),VLOOKUP(A60,fuzzifikasi!$A:$M,9,FALSE)))</f>
        <v>0.158444</v>
      </c>
      <c r="F60">
        <f>IF(VLOOKUP(B60,'aturan_fuzzy (rule)'!$A$2:$E$28,4,FALSE)="Rendah",VLOOKUP(A60,fuzzifikasi!$A:$M,11,FALSE),IF(VLOOKUP(B60,'aturan_fuzzy (rule)'!$A$2:$E$28,4,FALSE)="Sedang",VLOOKUP(A60,fuzzifikasi!$A:$M,12,FALSE),VLOOKUP(A60,fuzzifikasi!$A:$M,13,FALSE)))</f>
        <v>0</v>
      </c>
      <c r="G60">
        <f t="shared" si="0"/>
        <v>0</v>
      </c>
      <c r="H60">
        <f t="shared" si="1"/>
        <v>70</v>
      </c>
      <c r="I60">
        <f t="shared" si="2"/>
        <v>0</v>
      </c>
    </row>
    <row r="61" spans="1:9" x14ac:dyDescent="0.3">
      <c r="A61" t="s">
        <v>18</v>
      </c>
      <c r="B61" s="1" t="s">
        <v>45</v>
      </c>
      <c r="C61" s="1" t="s">
        <v>41</v>
      </c>
      <c r="D61">
        <f>IF(VLOOKUP(B61,'aturan_fuzzy (rule)'!$A$2:$E$28,2,FALSE)="Rendah",VLOOKUP(A61,fuzzifikasi!$A:$M,3,FALSE),IF(VLOOKUP(B61,'aturan_fuzzy (rule)'!$A$2:$E$28,2,FALSE)="Sedang",VLOOKUP(A61,fuzzifikasi!$A:$M,4,FALSE),VLOOKUP(A61,fuzzifikasi!$A:$M,5,FALSE)))</f>
        <v>1</v>
      </c>
      <c r="E61">
        <f>IF(VLOOKUP(B61,'aturan_fuzzy (rule)'!$A$2:$E$28,3,FALSE)="Rendah",VLOOKUP(A61,fuzzifikasi!$A:$M,7,FALSE),IF(VLOOKUP(B61,'aturan_fuzzy (rule)'!$A$2:$E$28,3,FALSE)="Sedang",VLOOKUP(A61,fuzzifikasi!$A:$M,8,FALSE),VLOOKUP(A61,fuzzifikasi!$A:$M,9,FALSE)))</f>
        <v>0.53463000000000005</v>
      </c>
      <c r="F61">
        <f>IF(VLOOKUP(B61,'aturan_fuzzy (rule)'!$A$2:$E$28,4,FALSE)="Rendah",VLOOKUP(A61,fuzzifikasi!$A:$M,11,FALSE),IF(VLOOKUP(B61,'aturan_fuzzy (rule)'!$A$2:$E$28,4,FALSE)="Sedang",VLOOKUP(A61,fuzzifikasi!$A:$M,12,FALSE),VLOOKUP(A61,fuzzifikasi!$A:$M,13,FALSE)))</f>
        <v>0</v>
      </c>
      <c r="G61">
        <f t="shared" si="0"/>
        <v>0</v>
      </c>
      <c r="H61">
        <f t="shared" si="1"/>
        <v>40</v>
      </c>
      <c r="I61">
        <f t="shared" si="2"/>
        <v>0</v>
      </c>
    </row>
    <row r="62" spans="1:9" x14ac:dyDescent="0.3">
      <c r="A62" t="s">
        <v>18</v>
      </c>
      <c r="B62" s="1" t="s">
        <v>46</v>
      </c>
      <c r="C62" s="1" t="s">
        <v>44</v>
      </c>
      <c r="D62">
        <f>IF(VLOOKUP(B62,'aturan_fuzzy (rule)'!$A$2:$E$28,2,FALSE)="Rendah",VLOOKUP(A62,fuzzifikasi!$A:$M,3,FALSE),IF(VLOOKUP(B62,'aturan_fuzzy (rule)'!$A$2:$E$28,2,FALSE)="Sedang",VLOOKUP(A62,fuzzifikasi!$A:$M,4,FALSE),VLOOKUP(A62,fuzzifikasi!$A:$M,5,FALSE)))</f>
        <v>1</v>
      </c>
      <c r="E62">
        <f>IF(VLOOKUP(B62,'aturan_fuzzy (rule)'!$A$2:$E$28,3,FALSE)="Rendah",VLOOKUP(A62,fuzzifikasi!$A:$M,7,FALSE),IF(VLOOKUP(B62,'aturan_fuzzy (rule)'!$A$2:$E$28,3,FALSE)="Sedang",VLOOKUP(A62,fuzzifikasi!$A:$M,8,FALSE),VLOOKUP(A62,fuzzifikasi!$A:$M,9,FALSE)))</f>
        <v>0.53463000000000005</v>
      </c>
      <c r="F62">
        <f>IF(VLOOKUP(B62,'aturan_fuzzy (rule)'!$A$2:$E$28,4,FALSE)="Rendah",VLOOKUP(A62,fuzzifikasi!$A:$M,11,FALSE),IF(VLOOKUP(B62,'aturan_fuzzy (rule)'!$A$2:$E$28,4,FALSE)="Sedang",VLOOKUP(A62,fuzzifikasi!$A:$M,12,FALSE),VLOOKUP(A62,fuzzifikasi!$A:$M,13,FALSE)))</f>
        <v>1</v>
      </c>
      <c r="G62">
        <f t="shared" si="0"/>
        <v>0.53463000000000005</v>
      </c>
      <c r="H62">
        <f t="shared" si="1"/>
        <v>86.038899999999998</v>
      </c>
      <c r="I62">
        <f t="shared" si="2"/>
        <v>45.998977107000002</v>
      </c>
    </row>
    <row r="63" spans="1:9" x14ac:dyDescent="0.3">
      <c r="A63" t="s">
        <v>18</v>
      </c>
      <c r="B63" s="1" t="s">
        <v>47</v>
      </c>
      <c r="C63" s="1" t="s">
        <v>44</v>
      </c>
      <c r="D63">
        <f>IF(VLOOKUP(B63,'aturan_fuzzy (rule)'!$A$2:$E$28,2,FALSE)="Rendah",VLOOKUP(A63,fuzzifikasi!$A:$M,3,FALSE),IF(VLOOKUP(B63,'aturan_fuzzy (rule)'!$A$2:$E$28,2,FALSE)="Sedang",VLOOKUP(A63,fuzzifikasi!$A:$M,4,FALSE),VLOOKUP(A63,fuzzifikasi!$A:$M,5,FALSE)))</f>
        <v>1</v>
      </c>
      <c r="E63">
        <f>IF(VLOOKUP(B63,'aturan_fuzzy (rule)'!$A$2:$E$28,3,FALSE)="Rendah",VLOOKUP(A63,fuzzifikasi!$A:$M,7,FALSE),IF(VLOOKUP(B63,'aturan_fuzzy (rule)'!$A$2:$E$28,3,FALSE)="Sedang",VLOOKUP(A63,fuzzifikasi!$A:$M,8,FALSE),VLOOKUP(A63,fuzzifikasi!$A:$M,9,FALSE)))</f>
        <v>0.53463000000000005</v>
      </c>
      <c r="F63">
        <f>IF(VLOOKUP(B63,'aturan_fuzzy (rule)'!$A$2:$E$28,4,FALSE)="Rendah",VLOOKUP(A63,fuzzifikasi!$A:$M,11,FALSE),IF(VLOOKUP(B63,'aturan_fuzzy (rule)'!$A$2:$E$28,4,FALSE)="Sedang",VLOOKUP(A63,fuzzifikasi!$A:$M,12,FALSE),VLOOKUP(A63,fuzzifikasi!$A:$M,13,FALSE)))</f>
        <v>0</v>
      </c>
      <c r="G63">
        <f t="shared" si="0"/>
        <v>0</v>
      </c>
      <c r="H63">
        <f t="shared" si="1"/>
        <v>70</v>
      </c>
      <c r="I63">
        <f t="shared" si="2"/>
        <v>0</v>
      </c>
    </row>
    <row r="64" spans="1:9" x14ac:dyDescent="0.3">
      <c r="A64" t="s">
        <v>18</v>
      </c>
      <c r="B64" s="1" t="s">
        <v>48</v>
      </c>
      <c r="C64" s="1" t="s">
        <v>44</v>
      </c>
      <c r="D64">
        <f>IF(VLOOKUP(B64,'aturan_fuzzy (rule)'!$A$2:$E$28,2,FALSE)="Rendah",VLOOKUP(A64,fuzzifikasi!$A:$M,3,FALSE),IF(VLOOKUP(B64,'aturan_fuzzy (rule)'!$A$2:$E$28,2,FALSE)="Sedang",VLOOKUP(A64,fuzzifikasi!$A:$M,4,FALSE),VLOOKUP(A64,fuzzifikasi!$A:$M,5,FALSE)))</f>
        <v>1</v>
      </c>
      <c r="E64">
        <f>IF(VLOOKUP(B64,'aturan_fuzzy (rule)'!$A$2:$E$28,3,FALSE)="Rendah",VLOOKUP(A64,fuzzifikasi!$A:$M,7,FALSE),IF(VLOOKUP(B64,'aturan_fuzzy (rule)'!$A$2:$E$28,3,FALSE)="Sedang",VLOOKUP(A64,fuzzifikasi!$A:$M,8,FALSE),VLOOKUP(A64,fuzzifikasi!$A:$M,9,FALSE)))</f>
        <v>0</v>
      </c>
      <c r="F64">
        <f>IF(VLOOKUP(B64,'aturan_fuzzy (rule)'!$A$2:$E$28,4,FALSE)="Rendah",VLOOKUP(A64,fuzzifikasi!$A:$M,11,FALSE),IF(VLOOKUP(B64,'aturan_fuzzy (rule)'!$A$2:$E$28,4,FALSE)="Sedang",VLOOKUP(A64,fuzzifikasi!$A:$M,12,FALSE),VLOOKUP(A64,fuzzifikasi!$A:$M,13,FALSE)))</f>
        <v>0</v>
      </c>
      <c r="G64">
        <f t="shared" si="0"/>
        <v>0</v>
      </c>
      <c r="H64">
        <f t="shared" si="1"/>
        <v>70</v>
      </c>
      <c r="I64">
        <f t="shared" si="2"/>
        <v>0</v>
      </c>
    </row>
    <row r="65" spans="1:9" x14ac:dyDescent="0.3">
      <c r="A65" t="s">
        <v>18</v>
      </c>
      <c r="B65" s="1" t="s">
        <v>49</v>
      </c>
      <c r="C65" s="1" t="s">
        <v>44</v>
      </c>
      <c r="D65">
        <f>IF(VLOOKUP(B65,'aturan_fuzzy (rule)'!$A$2:$E$28,2,FALSE)="Rendah",VLOOKUP(A65,fuzzifikasi!$A:$M,3,FALSE),IF(VLOOKUP(B65,'aturan_fuzzy (rule)'!$A$2:$E$28,2,FALSE)="Sedang",VLOOKUP(A65,fuzzifikasi!$A:$M,4,FALSE),VLOOKUP(A65,fuzzifikasi!$A:$M,5,FALSE)))</f>
        <v>1</v>
      </c>
      <c r="E65">
        <f>IF(VLOOKUP(B65,'aturan_fuzzy (rule)'!$A$2:$E$28,3,FALSE)="Rendah",VLOOKUP(A65,fuzzifikasi!$A:$M,7,FALSE),IF(VLOOKUP(B65,'aturan_fuzzy (rule)'!$A$2:$E$28,3,FALSE)="Sedang",VLOOKUP(A65,fuzzifikasi!$A:$M,8,FALSE),VLOOKUP(A65,fuzzifikasi!$A:$M,9,FALSE)))</f>
        <v>0</v>
      </c>
      <c r="F65">
        <f>IF(VLOOKUP(B65,'aturan_fuzzy (rule)'!$A$2:$E$28,4,FALSE)="Rendah",VLOOKUP(A65,fuzzifikasi!$A:$M,11,FALSE),IF(VLOOKUP(B65,'aturan_fuzzy (rule)'!$A$2:$E$28,4,FALSE)="Sedang",VLOOKUP(A65,fuzzifikasi!$A:$M,12,FALSE),VLOOKUP(A65,fuzzifikasi!$A:$M,13,FALSE)))</f>
        <v>1</v>
      </c>
      <c r="G65">
        <f t="shared" si="0"/>
        <v>0</v>
      </c>
      <c r="H65">
        <f t="shared" si="1"/>
        <v>70</v>
      </c>
      <c r="I65">
        <f t="shared" si="2"/>
        <v>0</v>
      </c>
    </row>
    <row r="66" spans="1:9" x14ac:dyDescent="0.3">
      <c r="A66" t="s">
        <v>18</v>
      </c>
      <c r="B66" s="1" t="s">
        <v>50</v>
      </c>
      <c r="C66" s="1" t="s">
        <v>44</v>
      </c>
      <c r="D66">
        <f>IF(VLOOKUP(B66,'aturan_fuzzy (rule)'!$A$2:$E$28,2,FALSE)="Rendah",VLOOKUP(A66,fuzzifikasi!$A:$M,3,FALSE),IF(VLOOKUP(B66,'aturan_fuzzy (rule)'!$A$2:$E$28,2,FALSE)="Sedang",VLOOKUP(A66,fuzzifikasi!$A:$M,4,FALSE),VLOOKUP(A66,fuzzifikasi!$A:$M,5,FALSE)))</f>
        <v>1</v>
      </c>
      <c r="E66">
        <f>IF(VLOOKUP(B66,'aturan_fuzzy (rule)'!$A$2:$E$28,3,FALSE)="Rendah",VLOOKUP(A66,fuzzifikasi!$A:$M,7,FALSE),IF(VLOOKUP(B66,'aturan_fuzzy (rule)'!$A$2:$E$28,3,FALSE)="Sedang",VLOOKUP(A66,fuzzifikasi!$A:$M,8,FALSE),VLOOKUP(A66,fuzzifikasi!$A:$M,9,FALSE)))</f>
        <v>0</v>
      </c>
      <c r="F66">
        <f>IF(VLOOKUP(B66,'aturan_fuzzy (rule)'!$A$2:$E$28,4,FALSE)="Rendah",VLOOKUP(A66,fuzzifikasi!$A:$M,11,FALSE),IF(VLOOKUP(B66,'aturan_fuzzy (rule)'!$A$2:$E$28,4,FALSE)="Sedang",VLOOKUP(A66,fuzzifikasi!$A:$M,12,FALSE),VLOOKUP(A66,fuzzifikasi!$A:$M,13,FALSE)))</f>
        <v>0</v>
      </c>
      <c r="G66">
        <f t="shared" si="0"/>
        <v>0</v>
      </c>
      <c r="H66">
        <f t="shared" si="1"/>
        <v>70</v>
      </c>
      <c r="I66">
        <f t="shared" si="2"/>
        <v>0</v>
      </c>
    </row>
    <row r="67" spans="1:9" x14ac:dyDescent="0.3">
      <c r="A67" t="s">
        <v>18</v>
      </c>
      <c r="B67" s="1" t="s">
        <v>51</v>
      </c>
      <c r="C67" s="1" t="s">
        <v>52</v>
      </c>
      <c r="D67">
        <f>IF(VLOOKUP(B67,'aturan_fuzzy (rule)'!$A$2:$E$28,2,FALSE)="Rendah",VLOOKUP(A67,fuzzifikasi!$A:$M,3,FALSE),IF(VLOOKUP(B67,'aturan_fuzzy (rule)'!$A$2:$E$28,2,FALSE)="Sedang",VLOOKUP(A67,fuzzifikasi!$A:$M,4,FALSE),VLOOKUP(A67,fuzzifikasi!$A:$M,5,FALSE)))</f>
        <v>0</v>
      </c>
      <c r="E67">
        <f>IF(VLOOKUP(B67,'aturan_fuzzy (rule)'!$A$2:$E$28,3,FALSE)="Rendah",VLOOKUP(A67,fuzzifikasi!$A:$M,7,FALSE),IF(VLOOKUP(B67,'aturan_fuzzy (rule)'!$A$2:$E$28,3,FALSE)="Sedang",VLOOKUP(A67,fuzzifikasi!$A:$M,8,FALSE),VLOOKUP(A67,fuzzifikasi!$A:$M,9,FALSE)))</f>
        <v>0.158444</v>
      </c>
      <c r="F67">
        <f>IF(VLOOKUP(B67,'aturan_fuzzy (rule)'!$A$2:$E$28,4,FALSE)="Rendah",VLOOKUP(A67,fuzzifikasi!$A:$M,11,FALSE),IF(VLOOKUP(B67,'aturan_fuzzy (rule)'!$A$2:$E$28,4,FALSE)="Sedang",VLOOKUP(A67,fuzzifikasi!$A:$M,12,FALSE),VLOOKUP(A67,fuzzifikasi!$A:$M,13,FALSE)))</f>
        <v>0</v>
      </c>
      <c r="G67">
        <f t="shared" ref="G67:G130" si="3">MIN(D67, E67, F67)</f>
        <v>0</v>
      </c>
      <c r="H67">
        <f t="shared" ref="H67:H130" si="4">IF(C67="Low_Risk", 70+(G67*30), IF(C67="Medium_Risk", 40+(G67*30), 40-(G67*40)))</f>
        <v>40</v>
      </c>
      <c r="I67">
        <f t="shared" ref="I67:I130" si="5">G67*H67</f>
        <v>0</v>
      </c>
    </row>
    <row r="68" spans="1:9" x14ac:dyDescent="0.3">
      <c r="A68" t="s">
        <v>18</v>
      </c>
      <c r="B68" s="1" t="s">
        <v>53</v>
      </c>
      <c r="C68" s="1" t="s">
        <v>41</v>
      </c>
      <c r="D68">
        <f>IF(VLOOKUP(B68,'aturan_fuzzy (rule)'!$A$2:$E$28,2,FALSE)="Rendah",VLOOKUP(A68,fuzzifikasi!$A:$M,3,FALSE),IF(VLOOKUP(B68,'aturan_fuzzy (rule)'!$A$2:$E$28,2,FALSE)="Sedang",VLOOKUP(A68,fuzzifikasi!$A:$M,4,FALSE),VLOOKUP(A68,fuzzifikasi!$A:$M,5,FALSE)))</f>
        <v>0</v>
      </c>
      <c r="E68">
        <f>IF(VLOOKUP(B68,'aturan_fuzzy (rule)'!$A$2:$E$28,3,FALSE)="Rendah",VLOOKUP(A68,fuzzifikasi!$A:$M,7,FALSE),IF(VLOOKUP(B68,'aturan_fuzzy (rule)'!$A$2:$E$28,3,FALSE)="Sedang",VLOOKUP(A68,fuzzifikasi!$A:$M,8,FALSE),VLOOKUP(A68,fuzzifikasi!$A:$M,9,FALSE)))</f>
        <v>0.158444</v>
      </c>
      <c r="F68">
        <f>IF(VLOOKUP(B68,'aturan_fuzzy (rule)'!$A$2:$E$28,4,FALSE)="Rendah",VLOOKUP(A68,fuzzifikasi!$A:$M,11,FALSE),IF(VLOOKUP(B68,'aturan_fuzzy (rule)'!$A$2:$E$28,4,FALSE)="Sedang",VLOOKUP(A68,fuzzifikasi!$A:$M,12,FALSE),VLOOKUP(A68,fuzzifikasi!$A:$M,13,FALSE)))</f>
        <v>1</v>
      </c>
      <c r="G68">
        <f t="shared" si="3"/>
        <v>0</v>
      </c>
      <c r="H68">
        <f t="shared" si="4"/>
        <v>40</v>
      </c>
      <c r="I68">
        <f t="shared" si="5"/>
        <v>0</v>
      </c>
    </row>
    <row r="69" spans="1:9" x14ac:dyDescent="0.3">
      <c r="A69" t="s">
        <v>18</v>
      </c>
      <c r="B69" s="1" t="s">
        <v>54</v>
      </c>
      <c r="C69" s="1" t="s">
        <v>41</v>
      </c>
      <c r="D69">
        <f>IF(VLOOKUP(B69,'aturan_fuzzy (rule)'!$A$2:$E$28,2,FALSE)="Rendah",VLOOKUP(A69,fuzzifikasi!$A:$M,3,FALSE),IF(VLOOKUP(B69,'aturan_fuzzy (rule)'!$A$2:$E$28,2,FALSE)="Sedang",VLOOKUP(A69,fuzzifikasi!$A:$M,4,FALSE),VLOOKUP(A69,fuzzifikasi!$A:$M,5,FALSE)))</f>
        <v>0</v>
      </c>
      <c r="E69">
        <f>IF(VLOOKUP(B69,'aturan_fuzzy (rule)'!$A$2:$E$28,3,FALSE)="Rendah",VLOOKUP(A69,fuzzifikasi!$A:$M,7,FALSE),IF(VLOOKUP(B69,'aturan_fuzzy (rule)'!$A$2:$E$28,3,FALSE)="Sedang",VLOOKUP(A69,fuzzifikasi!$A:$M,8,FALSE),VLOOKUP(A69,fuzzifikasi!$A:$M,9,FALSE)))</f>
        <v>0.158444</v>
      </c>
      <c r="F69">
        <f>IF(VLOOKUP(B69,'aturan_fuzzy (rule)'!$A$2:$E$28,4,FALSE)="Rendah",VLOOKUP(A69,fuzzifikasi!$A:$M,11,FALSE),IF(VLOOKUP(B69,'aturan_fuzzy (rule)'!$A$2:$E$28,4,FALSE)="Sedang",VLOOKUP(A69,fuzzifikasi!$A:$M,12,FALSE),VLOOKUP(A69,fuzzifikasi!$A:$M,13,FALSE)))</f>
        <v>0</v>
      </c>
      <c r="G69">
        <f t="shared" si="3"/>
        <v>0</v>
      </c>
      <c r="H69">
        <f t="shared" si="4"/>
        <v>40</v>
      </c>
      <c r="I69">
        <f t="shared" si="5"/>
        <v>0</v>
      </c>
    </row>
    <row r="70" spans="1:9" x14ac:dyDescent="0.3">
      <c r="A70" t="s">
        <v>18</v>
      </c>
      <c r="B70" s="1" t="s">
        <v>55</v>
      </c>
      <c r="C70" s="1" t="s">
        <v>41</v>
      </c>
      <c r="D70">
        <f>IF(VLOOKUP(B70,'aturan_fuzzy (rule)'!$A$2:$E$28,2,FALSE)="Rendah",VLOOKUP(A70,fuzzifikasi!$A:$M,3,FALSE),IF(VLOOKUP(B70,'aturan_fuzzy (rule)'!$A$2:$E$28,2,FALSE)="Sedang",VLOOKUP(A70,fuzzifikasi!$A:$M,4,FALSE),VLOOKUP(A70,fuzzifikasi!$A:$M,5,FALSE)))</f>
        <v>0</v>
      </c>
      <c r="E70">
        <f>IF(VLOOKUP(B70,'aturan_fuzzy (rule)'!$A$2:$E$28,3,FALSE)="Rendah",VLOOKUP(A70,fuzzifikasi!$A:$M,7,FALSE),IF(VLOOKUP(B70,'aturan_fuzzy (rule)'!$A$2:$E$28,3,FALSE)="Sedang",VLOOKUP(A70,fuzzifikasi!$A:$M,8,FALSE),VLOOKUP(A70,fuzzifikasi!$A:$M,9,FALSE)))</f>
        <v>0.53463000000000005</v>
      </c>
      <c r="F70">
        <f>IF(VLOOKUP(B70,'aturan_fuzzy (rule)'!$A$2:$E$28,4,FALSE)="Rendah",VLOOKUP(A70,fuzzifikasi!$A:$M,11,FALSE),IF(VLOOKUP(B70,'aturan_fuzzy (rule)'!$A$2:$E$28,4,FALSE)="Sedang",VLOOKUP(A70,fuzzifikasi!$A:$M,12,FALSE),VLOOKUP(A70,fuzzifikasi!$A:$M,13,FALSE)))</f>
        <v>0</v>
      </c>
      <c r="G70">
        <f t="shared" si="3"/>
        <v>0</v>
      </c>
      <c r="H70">
        <f t="shared" si="4"/>
        <v>40</v>
      </c>
      <c r="I70">
        <f t="shared" si="5"/>
        <v>0</v>
      </c>
    </row>
    <row r="71" spans="1:9" x14ac:dyDescent="0.3">
      <c r="A71" t="s">
        <v>18</v>
      </c>
      <c r="B71" s="1" t="s">
        <v>56</v>
      </c>
      <c r="C71" s="1" t="s">
        <v>41</v>
      </c>
      <c r="D71">
        <f>IF(VLOOKUP(B71,'aturan_fuzzy (rule)'!$A$2:$E$28,2,FALSE)="Rendah",VLOOKUP(A71,fuzzifikasi!$A:$M,3,FALSE),IF(VLOOKUP(B71,'aturan_fuzzy (rule)'!$A$2:$E$28,2,FALSE)="Sedang",VLOOKUP(A71,fuzzifikasi!$A:$M,4,FALSE),VLOOKUP(A71,fuzzifikasi!$A:$M,5,FALSE)))</f>
        <v>0</v>
      </c>
      <c r="E71">
        <f>IF(VLOOKUP(B71,'aturan_fuzzy (rule)'!$A$2:$E$28,3,FALSE)="Rendah",VLOOKUP(A71,fuzzifikasi!$A:$M,7,FALSE),IF(VLOOKUP(B71,'aturan_fuzzy (rule)'!$A$2:$E$28,3,FALSE)="Sedang",VLOOKUP(A71,fuzzifikasi!$A:$M,8,FALSE),VLOOKUP(A71,fuzzifikasi!$A:$M,9,FALSE)))</f>
        <v>0.53463000000000005</v>
      </c>
      <c r="F71">
        <f>IF(VLOOKUP(B71,'aturan_fuzzy (rule)'!$A$2:$E$28,4,FALSE)="Rendah",VLOOKUP(A71,fuzzifikasi!$A:$M,11,FALSE),IF(VLOOKUP(B71,'aturan_fuzzy (rule)'!$A$2:$E$28,4,FALSE)="Sedang",VLOOKUP(A71,fuzzifikasi!$A:$M,12,FALSE),VLOOKUP(A71,fuzzifikasi!$A:$M,13,FALSE)))</f>
        <v>1</v>
      </c>
      <c r="G71">
        <f t="shared" si="3"/>
        <v>0</v>
      </c>
      <c r="H71">
        <f t="shared" si="4"/>
        <v>40</v>
      </c>
      <c r="I71">
        <f t="shared" si="5"/>
        <v>0</v>
      </c>
    </row>
    <row r="72" spans="1:9" x14ac:dyDescent="0.3">
      <c r="A72" t="s">
        <v>18</v>
      </c>
      <c r="B72" s="1" t="s">
        <v>57</v>
      </c>
      <c r="C72" s="1" t="s">
        <v>44</v>
      </c>
      <c r="D72">
        <f>IF(VLOOKUP(B72,'aturan_fuzzy (rule)'!$A$2:$E$28,2,FALSE)="Rendah",VLOOKUP(A72,fuzzifikasi!$A:$M,3,FALSE),IF(VLOOKUP(B72,'aturan_fuzzy (rule)'!$A$2:$E$28,2,FALSE)="Sedang",VLOOKUP(A72,fuzzifikasi!$A:$M,4,FALSE),VLOOKUP(A72,fuzzifikasi!$A:$M,5,FALSE)))</f>
        <v>0</v>
      </c>
      <c r="E72">
        <f>IF(VLOOKUP(B72,'aturan_fuzzy (rule)'!$A$2:$E$28,3,FALSE)="Rendah",VLOOKUP(A72,fuzzifikasi!$A:$M,7,FALSE),IF(VLOOKUP(B72,'aturan_fuzzy (rule)'!$A$2:$E$28,3,FALSE)="Sedang",VLOOKUP(A72,fuzzifikasi!$A:$M,8,FALSE),VLOOKUP(A72,fuzzifikasi!$A:$M,9,FALSE)))</f>
        <v>0.53463000000000005</v>
      </c>
      <c r="F72">
        <f>IF(VLOOKUP(B72,'aturan_fuzzy (rule)'!$A$2:$E$28,4,FALSE)="Rendah",VLOOKUP(A72,fuzzifikasi!$A:$M,11,FALSE),IF(VLOOKUP(B72,'aturan_fuzzy (rule)'!$A$2:$E$28,4,FALSE)="Sedang",VLOOKUP(A72,fuzzifikasi!$A:$M,12,FALSE),VLOOKUP(A72,fuzzifikasi!$A:$M,13,FALSE)))</f>
        <v>0</v>
      </c>
      <c r="G72">
        <f t="shared" si="3"/>
        <v>0</v>
      </c>
      <c r="H72">
        <f t="shared" si="4"/>
        <v>70</v>
      </c>
      <c r="I72">
        <f t="shared" si="5"/>
        <v>0</v>
      </c>
    </row>
    <row r="73" spans="1:9" x14ac:dyDescent="0.3">
      <c r="A73" t="s">
        <v>18</v>
      </c>
      <c r="B73" s="1" t="s">
        <v>58</v>
      </c>
      <c r="C73" s="1" t="s">
        <v>41</v>
      </c>
      <c r="D73">
        <f>IF(VLOOKUP(B73,'aturan_fuzzy (rule)'!$A$2:$E$28,2,FALSE)="Rendah",VLOOKUP(A73,fuzzifikasi!$A:$M,3,FALSE),IF(VLOOKUP(B73,'aturan_fuzzy (rule)'!$A$2:$E$28,2,FALSE)="Sedang",VLOOKUP(A73,fuzzifikasi!$A:$M,4,FALSE),VLOOKUP(A73,fuzzifikasi!$A:$M,5,FALSE)))</f>
        <v>0</v>
      </c>
      <c r="E73">
        <f>IF(VLOOKUP(B73,'aturan_fuzzy (rule)'!$A$2:$E$28,3,FALSE)="Rendah",VLOOKUP(A73,fuzzifikasi!$A:$M,7,FALSE),IF(VLOOKUP(B73,'aturan_fuzzy (rule)'!$A$2:$E$28,3,FALSE)="Sedang",VLOOKUP(A73,fuzzifikasi!$A:$M,8,FALSE),VLOOKUP(A73,fuzzifikasi!$A:$M,9,FALSE)))</f>
        <v>0</v>
      </c>
      <c r="F73">
        <f>IF(VLOOKUP(B73,'aturan_fuzzy (rule)'!$A$2:$E$28,4,FALSE)="Rendah",VLOOKUP(A73,fuzzifikasi!$A:$M,11,FALSE),IF(VLOOKUP(B73,'aturan_fuzzy (rule)'!$A$2:$E$28,4,FALSE)="Sedang",VLOOKUP(A73,fuzzifikasi!$A:$M,12,FALSE),VLOOKUP(A73,fuzzifikasi!$A:$M,13,FALSE)))</f>
        <v>0</v>
      </c>
      <c r="G73">
        <f t="shared" si="3"/>
        <v>0</v>
      </c>
      <c r="H73">
        <f t="shared" si="4"/>
        <v>40</v>
      </c>
      <c r="I73">
        <f t="shared" si="5"/>
        <v>0</v>
      </c>
    </row>
    <row r="74" spans="1:9" x14ac:dyDescent="0.3">
      <c r="A74" t="s">
        <v>18</v>
      </c>
      <c r="B74" s="1" t="s">
        <v>59</v>
      </c>
      <c r="C74" s="1" t="s">
        <v>44</v>
      </c>
      <c r="D74">
        <f>IF(VLOOKUP(B74,'aturan_fuzzy (rule)'!$A$2:$E$28,2,FALSE)="Rendah",VLOOKUP(A74,fuzzifikasi!$A:$M,3,FALSE),IF(VLOOKUP(B74,'aturan_fuzzy (rule)'!$A$2:$E$28,2,FALSE)="Sedang",VLOOKUP(A74,fuzzifikasi!$A:$M,4,FALSE),VLOOKUP(A74,fuzzifikasi!$A:$M,5,FALSE)))</f>
        <v>0</v>
      </c>
      <c r="E74">
        <f>IF(VLOOKUP(B74,'aturan_fuzzy (rule)'!$A$2:$E$28,3,FALSE)="Rendah",VLOOKUP(A74,fuzzifikasi!$A:$M,7,FALSE),IF(VLOOKUP(B74,'aturan_fuzzy (rule)'!$A$2:$E$28,3,FALSE)="Sedang",VLOOKUP(A74,fuzzifikasi!$A:$M,8,FALSE),VLOOKUP(A74,fuzzifikasi!$A:$M,9,FALSE)))</f>
        <v>0</v>
      </c>
      <c r="F74">
        <f>IF(VLOOKUP(B74,'aturan_fuzzy (rule)'!$A$2:$E$28,4,FALSE)="Rendah",VLOOKUP(A74,fuzzifikasi!$A:$M,11,FALSE),IF(VLOOKUP(B74,'aturan_fuzzy (rule)'!$A$2:$E$28,4,FALSE)="Sedang",VLOOKUP(A74,fuzzifikasi!$A:$M,12,FALSE),VLOOKUP(A74,fuzzifikasi!$A:$M,13,FALSE)))</f>
        <v>1</v>
      </c>
      <c r="G74">
        <f t="shared" si="3"/>
        <v>0</v>
      </c>
      <c r="H74">
        <f t="shared" si="4"/>
        <v>70</v>
      </c>
      <c r="I74">
        <f t="shared" si="5"/>
        <v>0</v>
      </c>
    </row>
    <row r="75" spans="1:9" x14ac:dyDescent="0.3">
      <c r="A75" t="s">
        <v>18</v>
      </c>
      <c r="B75" s="1" t="s">
        <v>60</v>
      </c>
      <c r="C75" s="1" t="s">
        <v>44</v>
      </c>
      <c r="D75">
        <f>IF(VLOOKUP(B75,'aturan_fuzzy (rule)'!$A$2:$E$28,2,FALSE)="Rendah",VLOOKUP(A75,fuzzifikasi!$A:$M,3,FALSE),IF(VLOOKUP(B75,'aturan_fuzzy (rule)'!$A$2:$E$28,2,FALSE)="Sedang",VLOOKUP(A75,fuzzifikasi!$A:$M,4,FALSE),VLOOKUP(A75,fuzzifikasi!$A:$M,5,FALSE)))</f>
        <v>0</v>
      </c>
      <c r="E75">
        <f>IF(VLOOKUP(B75,'aturan_fuzzy (rule)'!$A$2:$E$28,3,FALSE)="Rendah",VLOOKUP(A75,fuzzifikasi!$A:$M,7,FALSE),IF(VLOOKUP(B75,'aturan_fuzzy (rule)'!$A$2:$E$28,3,FALSE)="Sedang",VLOOKUP(A75,fuzzifikasi!$A:$M,8,FALSE),VLOOKUP(A75,fuzzifikasi!$A:$M,9,FALSE)))</f>
        <v>0</v>
      </c>
      <c r="F75">
        <f>IF(VLOOKUP(B75,'aturan_fuzzy (rule)'!$A$2:$E$28,4,FALSE)="Rendah",VLOOKUP(A75,fuzzifikasi!$A:$M,11,FALSE),IF(VLOOKUP(B75,'aturan_fuzzy (rule)'!$A$2:$E$28,4,FALSE)="Sedang",VLOOKUP(A75,fuzzifikasi!$A:$M,12,FALSE),VLOOKUP(A75,fuzzifikasi!$A:$M,13,FALSE)))</f>
        <v>0</v>
      </c>
      <c r="G75">
        <f t="shared" si="3"/>
        <v>0</v>
      </c>
      <c r="H75">
        <f t="shared" si="4"/>
        <v>70</v>
      </c>
      <c r="I75">
        <f t="shared" si="5"/>
        <v>0</v>
      </c>
    </row>
    <row r="76" spans="1:9" x14ac:dyDescent="0.3">
      <c r="A76" t="s">
        <v>18</v>
      </c>
      <c r="B76" s="1" t="s">
        <v>61</v>
      </c>
      <c r="C76" s="1" t="s">
        <v>52</v>
      </c>
      <c r="D76">
        <f>IF(VLOOKUP(B76,'aturan_fuzzy (rule)'!$A$2:$E$28,2,FALSE)="Rendah",VLOOKUP(A76,fuzzifikasi!$A:$M,3,FALSE),IF(VLOOKUP(B76,'aturan_fuzzy (rule)'!$A$2:$E$28,2,FALSE)="Sedang",VLOOKUP(A76,fuzzifikasi!$A:$M,4,FALSE),VLOOKUP(A76,fuzzifikasi!$A:$M,5,FALSE)))</f>
        <v>0</v>
      </c>
      <c r="E76">
        <f>IF(VLOOKUP(B76,'aturan_fuzzy (rule)'!$A$2:$E$28,3,FALSE)="Rendah",VLOOKUP(A76,fuzzifikasi!$A:$M,7,FALSE),IF(VLOOKUP(B76,'aturan_fuzzy (rule)'!$A$2:$E$28,3,FALSE)="Sedang",VLOOKUP(A76,fuzzifikasi!$A:$M,8,FALSE),VLOOKUP(A76,fuzzifikasi!$A:$M,9,FALSE)))</f>
        <v>0.158444</v>
      </c>
      <c r="F76">
        <f>IF(VLOOKUP(B76,'aturan_fuzzy (rule)'!$A$2:$E$28,4,FALSE)="Rendah",VLOOKUP(A76,fuzzifikasi!$A:$M,11,FALSE),IF(VLOOKUP(B76,'aturan_fuzzy (rule)'!$A$2:$E$28,4,FALSE)="Sedang",VLOOKUP(A76,fuzzifikasi!$A:$M,12,FALSE),VLOOKUP(A76,fuzzifikasi!$A:$M,13,FALSE)))</f>
        <v>0</v>
      </c>
      <c r="G76">
        <f t="shared" si="3"/>
        <v>0</v>
      </c>
      <c r="H76">
        <f t="shared" si="4"/>
        <v>40</v>
      </c>
      <c r="I76">
        <f t="shared" si="5"/>
        <v>0</v>
      </c>
    </row>
    <row r="77" spans="1:9" x14ac:dyDescent="0.3">
      <c r="A77" t="s">
        <v>18</v>
      </c>
      <c r="B77" s="1" t="s">
        <v>62</v>
      </c>
      <c r="C77" s="1" t="s">
        <v>52</v>
      </c>
      <c r="D77">
        <f>IF(VLOOKUP(B77,'aturan_fuzzy (rule)'!$A$2:$E$28,2,FALSE)="Rendah",VLOOKUP(A77,fuzzifikasi!$A:$M,3,FALSE),IF(VLOOKUP(B77,'aturan_fuzzy (rule)'!$A$2:$E$28,2,FALSE)="Sedang",VLOOKUP(A77,fuzzifikasi!$A:$M,4,FALSE),VLOOKUP(A77,fuzzifikasi!$A:$M,5,FALSE)))</f>
        <v>0</v>
      </c>
      <c r="E77">
        <f>IF(VLOOKUP(B77,'aturan_fuzzy (rule)'!$A$2:$E$28,3,FALSE)="Rendah",VLOOKUP(A77,fuzzifikasi!$A:$M,7,FALSE),IF(VLOOKUP(B77,'aturan_fuzzy (rule)'!$A$2:$E$28,3,FALSE)="Sedang",VLOOKUP(A77,fuzzifikasi!$A:$M,8,FALSE),VLOOKUP(A77,fuzzifikasi!$A:$M,9,FALSE)))</f>
        <v>0.158444</v>
      </c>
      <c r="F77">
        <f>IF(VLOOKUP(B77,'aturan_fuzzy (rule)'!$A$2:$E$28,4,FALSE)="Rendah",VLOOKUP(A77,fuzzifikasi!$A:$M,11,FALSE),IF(VLOOKUP(B77,'aturan_fuzzy (rule)'!$A$2:$E$28,4,FALSE)="Sedang",VLOOKUP(A77,fuzzifikasi!$A:$M,12,FALSE),VLOOKUP(A77,fuzzifikasi!$A:$M,13,FALSE)))</f>
        <v>1</v>
      </c>
      <c r="G77">
        <f t="shared" si="3"/>
        <v>0</v>
      </c>
      <c r="H77">
        <f t="shared" si="4"/>
        <v>40</v>
      </c>
      <c r="I77">
        <f t="shared" si="5"/>
        <v>0</v>
      </c>
    </row>
    <row r="78" spans="1:9" x14ac:dyDescent="0.3">
      <c r="A78" t="s">
        <v>18</v>
      </c>
      <c r="B78" s="1" t="s">
        <v>63</v>
      </c>
      <c r="C78" s="1" t="s">
        <v>41</v>
      </c>
      <c r="D78">
        <f>IF(VLOOKUP(B78,'aturan_fuzzy (rule)'!$A$2:$E$28,2,FALSE)="Rendah",VLOOKUP(A78,fuzzifikasi!$A:$M,3,FALSE),IF(VLOOKUP(B78,'aturan_fuzzy (rule)'!$A$2:$E$28,2,FALSE)="Sedang",VLOOKUP(A78,fuzzifikasi!$A:$M,4,FALSE),VLOOKUP(A78,fuzzifikasi!$A:$M,5,FALSE)))</f>
        <v>0</v>
      </c>
      <c r="E78">
        <f>IF(VLOOKUP(B78,'aturan_fuzzy (rule)'!$A$2:$E$28,3,FALSE)="Rendah",VLOOKUP(A78,fuzzifikasi!$A:$M,7,FALSE),IF(VLOOKUP(B78,'aturan_fuzzy (rule)'!$A$2:$E$28,3,FALSE)="Sedang",VLOOKUP(A78,fuzzifikasi!$A:$M,8,FALSE),VLOOKUP(A78,fuzzifikasi!$A:$M,9,FALSE)))</f>
        <v>0.158444</v>
      </c>
      <c r="F78">
        <f>IF(VLOOKUP(B78,'aturan_fuzzy (rule)'!$A$2:$E$28,4,FALSE)="Rendah",VLOOKUP(A78,fuzzifikasi!$A:$M,11,FALSE),IF(VLOOKUP(B78,'aturan_fuzzy (rule)'!$A$2:$E$28,4,FALSE)="Sedang",VLOOKUP(A78,fuzzifikasi!$A:$M,12,FALSE),VLOOKUP(A78,fuzzifikasi!$A:$M,13,FALSE)))</f>
        <v>0</v>
      </c>
      <c r="G78">
        <f t="shared" si="3"/>
        <v>0</v>
      </c>
      <c r="H78">
        <f t="shared" si="4"/>
        <v>40</v>
      </c>
      <c r="I78">
        <f t="shared" si="5"/>
        <v>0</v>
      </c>
    </row>
    <row r="79" spans="1:9" x14ac:dyDescent="0.3">
      <c r="A79" t="s">
        <v>18</v>
      </c>
      <c r="B79" s="1" t="s">
        <v>64</v>
      </c>
      <c r="C79" s="1" t="s">
        <v>52</v>
      </c>
      <c r="D79">
        <f>IF(VLOOKUP(B79,'aturan_fuzzy (rule)'!$A$2:$E$28,2,FALSE)="Rendah",VLOOKUP(A79,fuzzifikasi!$A:$M,3,FALSE),IF(VLOOKUP(B79,'aturan_fuzzy (rule)'!$A$2:$E$28,2,FALSE)="Sedang",VLOOKUP(A79,fuzzifikasi!$A:$M,4,FALSE),VLOOKUP(A79,fuzzifikasi!$A:$M,5,FALSE)))</f>
        <v>0</v>
      </c>
      <c r="E79">
        <f>IF(VLOOKUP(B79,'aturan_fuzzy (rule)'!$A$2:$E$28,3,FALSE)="Rendah",VLOOKUP(A79,fuzzifikasi!$A:$M,7,FALSE),IF(VLOOKUP(B79,'aturan_fuzzy (rule)'!$A$2:$E$28,3,FALSE)="Sedang",VLOOKUP(A79,fuzzifikasi!$A:$M,8,FALSE),VLOOKUP(A79,fuzzifikasi!$A:$M,9,FALSE)))</f>
        <v>0.53463000000000005</v>
      </c>
      <c r="F79">
        <f>IF(VLOOKUP(B79,'aturan_fuzzy (rule)'!$A$2:$E$28,4,FALSE)="Rendah",VLOOKUP(A79,fuzzifikasi!$A:$M,11,FALSE),IF(VLOOKUP(B79,'aturan_fuzzy (rule)'!$A$2:$E$28,4,FALSE)="Sedang",VLOOKUP(A79,fuzzifikasi!$A:$M,12,FALSE),VLOOKUP(A79,fuzzifikasi!$A:$M,13,FALSE)))</f>
        <v>0</v>
      </c>
      <c r="G79">
        <f t="shared" si="3"/>
        <v>0</v>
      </c>
      <c r="H79">
        <f t="shared" si="4"/>
        <v>40</v>
      </c>
      <c r="I79">
        <f t="shared" si="5"/>
        <v>0</v>
      </c>
    </row>
    <row r="80" spans="1:9" x14ac:dyDescent="0.3">
      <c r="A80" t="s">
        <v>18</v>
      </c>
      <c r="B80" s="1" t="s">
        <v>65</v>
      </c>
      <c r="C80" s="1" t="s">
        <v>41</v>
      </c>
      <c r="D80">
        <f>IF(VLOOKUP(B80,'aturan_fuzzy (rule)'!$A$2:$E$28,2,FALSE)="Rendah",VLOOKUP(A80,fuzzifikasi!$A:$M,3,FALSE),IF(VLOOKUP(B80,'aturan_fuzzy (rule)'!$A$2:$E$28,2,FALSE)="Sedang",VLOOKUP(A80,fuzzifikasi!$A:$M,4,FALSE),VLOOKUP(A80,fuzzifikasi!$A:$M,5,FALSE)))</f>
        <v>0</v>
      </c>
      <c r="E80">
        <f>IF(VLOOKUP(B80,'aturan_fuzzy (rule)'!$A$2:$E$28,3,FALSE)="Rendah",VLOOKUP(A80,fuzzifikasi!$A:$M,7,FALSE),IF(VLOOKUP(B80,'aturan_fuzzy (rule)'!$A$2:$E$28,3,FALSE)="Sedang",VLOOKUP(A80,fuzzifikasi!$A:$M,8,FALSE),VLOOKUP(A80,fuzzifikasi!$A:$M,9,FALSE)))</f>
        <v>0.53463000000000005</v>
      </c>
      <c r="F80">
        <f>IF(VLOOKUP(B80,'aturan_fuzzy (rule)'!$A$2:$E$28,4,FALSE)="Rendah",VLOOKUP(A80,fuzzifikasi!$A:$M,11,FALSE),IF(VLOOKUP(B80,'aturan_fuzzy (rule)'!$A$2:$E$28,4,FALSE)="Sedang",VLOOKUP(A80,fuzzifikasi!$A:$M,12,FALSE),VLOOKUP(A80,fuzzifikasi!$A:$M,13,FALSE)))</f>
        <v>1</v>
      </c>
      <c r="G80">
        <f t="shared" si="3"/>
        <v>0</v>
      </c>
      <c r="H80">
        <f t="shared" si="4"/>
        <v>40</v>
      </c>
      <c r="I80">
        <f t="shared" si="5"/>
        <v>0</v>
      </c>
    </row>
    <row r="81" spans="1:9" x14ac:dyDescent="0.3">
      <c r="A81" t="s">
        <v>18</v>
      </c>
      <c r="B81" s="1" t="s">
        <v>66</v>
      </c>
      <c r="C81" s="1" t="s">
        <v>41</v>
      </c>
      <c r="D81">
        <f>IF(VLOOKUP(B81,'aturan_fuzzy (rule)'!$A$2:$E$28,2,FALSE)="Rendah",VLOOKUP(A81,fuzzifikasi!$A:$M,3,FALSE),IF(VLOOKUP(B81,'aturan_fuzzy (rule)'!$A$2:$E$28,2,FALSE)="Sedang",VLOOKUP(A81,fuzzifikasi!$A:$M,4,FALSE),VLOOKUP(A81,fuzzifikasi!$A:$M,5,FALSE)))</f>
        <v>0</v>
      </c>
      <c r="E81">
        <f>IF(VLOOKUP(B81,'aturan_fuzzy (rule)'!$A$2:$E$28,3,FALSE)="Rendah",VLOOKUP(A81,fuzzifikasi!$A:$M,7,FALSE),IF(VLOOKUP(B81,'aturan_fuzzy (rule)'!$A$2:$E$28,3,FALSE)="Sedang",VLOOKUP(A81,fuzzifikasi!$A:$M,8,FALSE),VLOOKUP(A81,fuzzifikasi!$A:$M,9,FALSE)))</f>
        <v>0.53463000000000005</v>
      </c>
      <c r="F81">
        <f>IF(VLOOKUP(B81,'aturan_fuzzy (rule)'!$A$2:$E$28,4,FALSE)="Rendah",VLOOKUP(A81,fuzzifikasi!$A:$M,11,FALSE),IF(VLOOKUP(B81,'aturan_fuzzy (rule)'!$A$2:$E$28,4,FALSE)="Sedang",VLOOKUP(A81,fuzzifikasi!$A:$M,12,FALSE),VLOOKUP(A81,fuzzifikasi!$A:$M,13,FALSE)))</f>
        <v>0</v>
      </c>
      <c r="G81">
        <f t="shared" si="3"/>
        <v>0</v>
      </c>
      <c r="H81">
        <f t="shared" si="4"/>
        <v>40</v>
      </c>
      <c r="I81">
        <f t="shared" si="5"/>
        <v>0</v>
      </c>
    </row>
    <row r="82" spans="1:9" x14ac:dyDescent="0.3">
      <c r="A82" t="s">
        <v>18</v>
      </c>
      <c r="B82" s="1" t="s">
        <v>67</v>
      </c>
      <c r="C82" s="1" t="s">
        <v>41</v>
      </c>
      <c r="D82">
        <f>IF(VLOOKUP(B82,'aturan_fuzzy (rule)'!$A$2:$E$28,2,FALSE)="Rendah",VLOOKUP(A82,fuzzifikasi!$A:$M,3,FALSE),IF(VLOOKUP(B82,'aturan_fuzzy (rule)'!$A$2:$E$28,2,FALSE)="Sedang",VLOOKUP(A82,fuzzifikasi!$A:$M,4,FALSE),VLOOKUP(A82,fuzzifikasi!$A:$M,5,FALSE)))</f>
        <v>0</v>
      </c>
      <c r="E82">
        <f>IF(VLOOKUP(B82,'aturan_fuzzy (rule)'!$A$2:$E$28,3,FALSE)="Rendah",VLOOKUP(A82,fuzzifikasi!$A:$M,7,FALSE),IF(VLOOKUP(B82,'aturan_fuzzy (rule)'!$A$2:$E$28,3,FALSE)="Sedang",VLOOKUP(A82,fuzzifikasi!$A:$M,8,FALSE),VLOOKUP(A82,fuzzifikasi!$A:$M,9,FALSE)))</f>
        <v>0</v>
      </c>
      <c r="F82">
        <f>IF(VLOOKUP(B82,'aturan_fuzzy (rule)'!$A$2:$E$28,4,FALSE)="Rendah",VLOOKUP(A82,fuzzifikasi!$A:$M,11,FALSE),IF(VLOOKUP(B82,'aturan_fuzzy (rule)'!$A$2:$E$28,4,FALSE)="Sedang",VLOOKUP(A82,fuzzifikasi!$A:$M,12,FALSE),VLOOKUP(A82,fuzzifikasi!$A:$M,13,FALSE)))</f>
        <v>0</v>
      </c>
      <c r="G82">
        <f t="shared" si="3"/>
        <v>0</v>
      </c>
      <c r="H82">
        <f t="shared" si="4"/>
        <v>40</v>
      </c>
      <c r="I82">
        <f t="shared" si="5"/>
        <v>0</v>
      </c>
    </row>
    <row r="83" spans="1:9" x14ac:dyDescent="0.3">
      <c r="A83" t="s">
        <v>18</v>
      </c>
      <c r="B83" s="1" t="s">
        <v>68</v>
      </c>
      <c r="C83" s="1" t="s">
        <v>41</v>
      </c>
      <c r="D83">
        <f>IF(VLOOKUP(B83,'aturan_fuzzy (rule)'!$A$2:$E$28,2,FALSE)="Rendah",VLOOKUP(A83,fuzzifikasi!$A:$M,3,FALSE),IF(VLOOKUP(B83,'aturan_fuzzy (rule)'!$A$2:$E$28,2,FALSE)="Sedang",VLOOKUP(A83,fuzzifikasi!$A:$M,4,FALSE),VLOOKUP(A83,fuzzifikasi!$A:$M,5,FALSE)))</f>
        <v>0</v>
      </c>
      <c r="E83">
        <f>IF(VLOOKUP(B83,'aturan_fuzzy (rule)'!$A$2:$E$28,3,FALSE)="Rendah",VLOOKUP(A83,fuzzifikasi!$A:$M,7,FALSE),IF(VLOOKUP(B83,'aturan_fuzzy (rule)'!$A$2:$E$28,3,FALSE)="Sedang",VLOOKUP(A83,fuzzifikasi!$A:$M,8,FALSE),VLOOKUP(A83,fuzzifikasi!$A:$M,9,FALSE)))</f>
        <v>0</v>
      </c>
      <c r="F83">
        <f>IF(VLOOKUP(B83,'aturan_fuzzy (rule)'!$A$2:$E$28,4,FALSE)="Rendah",VLOOKUP(A83,fuzzifikasi!$A:$M,11,FALSE),IF(VLOOKUP(B83,'aturan_fuzzy (rule)'!$A$2:$E$28,4,FALSE)="Sedang",VLOOKUP(A83,fuzzifikasi!$A:$M,12,FALSE),VLOOKUP(A83,fuzzifikasi!$A:$M,13,FALSE)))</f>
        <v>1</v>
      </c>
      <c r="G83">
        <f t="shared" si="3"/>
        <v>0</v>
      </c>
      <c r="H83">
        <f t="shared" si="4"/>
        <v>40</v>
      </c>
      <c r="I83">
        <f t="shared" si="5"/>
        <v>0</v>
      </c>
    </row>
    <row r="84" spans="1:9" x14ac:dyDescent="0.3">
      <c r="A84" t="s">
        <v>18</v>
      </c>
      <c r="B84" s="1" t="s">
        <v>69</v>
      </c>
      <c r="C84" s="1" t="s">
        <v>44</v>
      </c>
      <c r="D84">
        <f>IF(VLOOKUP(B84,'aturan_fuzzy (rule)'!$A$2:$E$28,2,FALSE)="Rendah",VLOOKUP(A84,fuzzifikasi!$A:$M,3,FALSE),IF(VLOOKUP(B84,'aturan_fuzzy (rule)'!$A$2:$E$28,2,FALSE)="Sedang",VLOOKUP(A84,fuzzifikasi!$A:$M,4,FALSE),VLOOKUP(A84,fuzzifikasi!$A:$M,5,FALSE)))</f>
        <v>0</v>
      </c>
      <c r="E84">
        <f>IF(VLOOKUP(B84,'aturan_fuzzy (rule)'!$A$2:$E$28,3,FALSE)="Rendah",VLOOKUP(A84,fuzzifikasi!$A:$M,7,FALSE),IF(VLOOKUP(B84,'aturan_fuzzy (rule)'!$A$2:$E$28,3,FALSE)="Sedang",VLOOKUP(A84,fuzzifikasi!$A:$M,8,FALSE),VLOOKUP(A84,fuzzifikasi!$A:$M,9,FALSE)))</f>
        <v>0</v>
      </c>
      <c r="F84">
        <f>IF(VLOOKUP(B84,'aturan_fuzzy (rule)'!$A$2:$E$28,4,FALSE)="Rendah",VLOOKUP(A84,fuzzifikasi!$A:$M,11,FALSE),IF(VLOOKUP(B84,'aturan_fuzzy (rule)'!$A$2:$E$28,4,FALSE)="Sedang",VLOOKUP(A84,fuzzifikasi!$A:$M,12,FALSE),VLOOKUP(A84,fuzzifikasi!$A:$M,13,FALSE)))</f>
        <v>0</v>
      </c>
      <c r="G84">
        <f t="shared" si="3"/>
        <v>0</v>
      </c>
      <c r="H84">
        <f t="shared" si="4"/>
        <v>70</v>
      </c>
      <c r="I84">
        <f t="shared" si="5"/>
        <v>0</v>
      </c>
    </row>
    <row r="86" spans="1:9" x14ac:dyDescent="0.3">
      <c r="A86" t="s">
        <v>19</v>
      </c>
      <c r="B86" s="1" t="s">
        <v>40</v>
      </c>
      <c r="C86" s="1" t="s">
        <v>41</v>
      </c>
      <c r="D86">
        <f>IF(VLOOKUP(B86,'aturan_fuzzy (rule)'!$A$2:$E$28,2,FALSE)="Rendah",VLOOKUP(A86,fuzzifikasi!$A:$M,3,FALSE),IF(VLOOKUP(B86,'aturan_fuzzy (rule)'!$A$2:$E$28,2,FALSE)="Sedang",VLOOKUP(A86,fuzzifikasi!$A:$M,4,FALSE),VLOOKUP(A86,fuzzifikasi!$A:$M,5,FALSE)))</f>
        <v>0.83333333333333337</v>
      </c>
      <c r="E86">
        <f>IF(VLOOKUP(B86,'aturan_fuzzy (rule)'!$A$2:$E$28,3,FALSE)="Rendah",VLOOKUP(A86,fuzzifikasi!$A:$M,7,FALSE),IF(VLOOKUP(B86,'aturan_fuzzy (rule)'!$A$2:$E$28,3,FALSE)="Sedang",VLOOKUP(A86,fuzzifikasi!$A:$M,8,FALSE),VLOOKUP(A86,fuzzifikasi!$A:$M,9,FALSE)))</f>
        <v>0</v>
      </c>
      <c r="F86">
        <f>IF(VLOOKUP(B86,'aturan_fuzzy (rule)'!$A$2:$E$28,4,FALSE)="Rendah",VLOOKUP(A86,fuzzifikasi!$A:$M,11,FALSE),IF(VLOOKUP(B86,'aturan_fuzzy (rule)'!$A$2:$E$28,4,FALSE)="Sedang",VLOOKUP(A86,fuzzifikasi!$A:$M,12,FALSE),VLOOKUP(A86,fuzzifikasi!$A:$M,13,FALSE)))</f>
        <v>0.15379999999999999</v>
      </c>
      <c r="G86">
        <f t="shared" si="3"/>
        <v>0</v>
      </c>
      <c r="H86">
        <f t="shared" si="4"/>
        <v>40</v>
      </c>
      <c r="I86">
        <f t="shared" si="5"/>
        <v>0</v>
      </c>
    </row>
    <row r="87" spans="1:9" x14ac:dyDescent="0.3">
      <c r="A87" t="s">
        <v>19</v>
      </c>
      <c r="B87" s="1" t="s">
        <v>42</v>
      </c>
      <c r="C87" s="1" t="s">
        <v>41</v>
      </c>
      <c r="D87">
        <f>IF(VLOOKUP(B87,'aturan_fuzzy (rule)'!$A$2:$E$28,2,FALSE)="Rendah",VLOOKUP(A87,fuzzifikasi!$A:$M,3,FALSE),IF(VLOOKUP(B87,'aturan_fuzzy (rule)'!$A$2:$E$28,2,FALSE)="Sedang",VLOOKUP(A87,fuzzifikasi!$A:$M,4,FALSE),VLOOKUP(A87,fuzzifikasi!$A:$M,5,FALSE)))</f>
        <v>0.83333333333333337</v>
      </c>
      <c r="E87">
        <f>IF(VLOOKUP(B87,'aturan_fuzzy (rule)'!$A$2:$E$28,3,FALSE)="Rendah",VLOOKUP(A87,fuzzifikasi!$A:$M,7,FALSE),IF(VLOOKUP(B87,'aturan_fuzzy (rule)'!$A$2:$E$28,3,FALSE)="Sedang",VLOOKUP(A87,fuzzifikasi!$A:$M,8,FALSE),VLOOKUP(A87,fuzzifikasi!$A:$M,9,FALSE)))</f>
        <v>0</v>
      </c>
      <c r="F87">
        <f>IF(VLOOKUP(B87,'aturan_fuzzy (rule)'!$A$2:$E$28,4,FALSE)="Rendah",VLOOKUP(A87,fuzzifikasi!$A:$M,11,FALSE),IF(VLOOKUP(B87,'aturan_fuzzy (rule)'!$A$2:$E$28,4,FALSE)="Sedang",VLOOKUP(A87,fuzzifikasi!$A:$M,12,FALSE),VLOOKUP(A87,fuzzifikasi!$A:$M,13,FALSE)))</f>
        <v>0.80774999999999997</v>
      </c>
      <c r="G87">
        <f t="shared" si="3"/>
        <v>0</v>
      </c>
      <c r="H87">
        <f t="shared" si="4"/>
        <v>40</v>
      </c>
      <c r="I87">
        <f t="shared" si="5"/>
        <v>0</v>
      </c>
    </row>
    <row r="88" spans="1:9" x14ac:dyDescent="0.3">
      <c r="A88" t="s">
        <v>19</v>
      </c>
      <c r="B88" s="1" t="s">
        <v>43</v>
      </c>
      <c r="C88" s="1" t="s">
        <v>44</v>
      </c>
      <c r="D88">
        <f>IF(VLOOKUP(B88,'aturan_fuzzy (rule)'!$A$2:$E$28,2,FALSE)="Rendah",VLOOKUP(A88,fuzzifikasi!$A:$M,3,FALSE),IF(VLOOKUP(B88,'aturan_fuzzy (rule)'!$A$2:$E$28,2,FALSE)="Sedang",VLOOKUP(A88,fuzzifikasi!$A:$M,4,FALSE),VLOOKUP(A88,fuzzifikasi!$A:$M,5,FALSE)))</f>
        <v>0.83333333333333337</v>
      </c>
      <c r="E88">
        <f>IF(VLOOKUP(B88,'aturan_fuzzy (rule)'!$A$2:$E$28,3,FALSE)="Rendah",VLOOKUP(A88,fuzzifikasi!$A:$M,7,FALSE),IF(VLOOKUP(B88,'aturan_fuzzy (rule)'!$A$2:$E$28,3,FALSE)="Sedang",VLOOKUP(A88,fuzzifikasi!$A:$M,8,FALSE),VLOOKUP(A88,fuzzifikasi!$A:$M,9,FALSE)))</f>
        <v>0</v>
      </c>
      <c r="F88">
        <f>IF(VLOOKUP(B88,'aturan_fuzzy (rule)'!$A$2:$E$28,4,FALSE)="Rendah",VLOOKUP(A88,fuzzifikasi!$A:$M,11,FALSE),IF(VLOOKUP(B88,'aturan_fuzzy (rule)'!$A$2:$E$28,4,FALSE)="Sedang",VLOOKUP(A88,fuzzifikasi!$A:$M,12,FALSE),VLOOKUP(A88,fuzzifikasi!$A:$M,13,FALSE)))</f>
        <v>0</v>
      </c>
      <c r="G88">
        <f t="shared" si="3"/>
        <v>0</v>
      </c>
      <c r="H88">
        <f t="shared" si="4"/>
        <v>70</v>
      </c>
      <c r="I88">
        <f t="shared" si="5"/>
        <v>0</v>
      </c>
    </row>
    <row r="89" spans="1:9" x14ac:dyDescent="0.3">
      <c r="A89" t="s">
        <v>19</v>
      </c>
      <c r="B89" s="1" t="s">
        <v>45</v>
      </c>
      <c r="C89" s="1" t="s">
        <v>41</v>
      </c>
      <c r="D89">
        <f>IF(VLOOKUP(B89,'aturan_fuzzy (rule)'!$A$2:$E$28,2,FALSE)="Rendah",VLOOKUP(A89,fuzzifikasi!$A:$M,3,FALSE),IF(VLOOKUP(B89,'aturan_fuzzy (rule)'!$A$2:$E$28,2,FALSE)="Sedang",VLOOKUP(A89,fuzzifikasi!$A:$M,4,FALSE),VLOOKUP(A89,fuzzifikasi!$A:$M,5,FALSE)))</f>
        <v>0.83333333333333337</v>
      </c>
      <c r="E89">
        <f>IF(VLOOKUP(B89,'aturan_fuzzy (rule)'!$A$2:$E$28,3,FALSE)="Rendah",VLOOKUP(A89,fuzzifikasi!$A:$M,7,FALSE),IF(VLOOKUP(B89,'aturan_fuzzy (rule)'!$A$2:$E$28,3,FALSE)="Sedang",VLOOKUP(A89,fuzzifikasi!$A:$M,8,FALSE),VLOOKUP(A89,fuzzifikasi!$A:$M,9,FALSE)))</f>
        <v>0.69840000000000002</v>
      </c>
      <c r="F89">
        <f>IF(VLOOKUP(B89,'aturan_fuzzy (rule)'!$A$2:$E$28,4,FALSE)="Rendah",VLOOKUP(A89,fuzzifikasi!$A:$M,11,FALSE),IF(VLOOKUP(B89,'aturan_fuzzy (rule)'!$A$2:$E$28,4,FALSE)="Sedang",VLOOKUP(A89,fuzzifikasi!$A:$M,12,FALSE),VLOOKUP(A89,fuzzifikasi!$A:$M,13,FALSE)))</f>
        <v>0.15379999999999999</v>
      </c>
      <c r="G89">
        <f t="shared" si="3"/>
        <v>0.15379999999999999</v>
      </c>
      <c r="H89">
        <f t="shared" si="4"/>
        <v>44.613999999999997</v>
      </c>
      <c r="I89">
        <f t="shared" si="5"/>
        <v>6.8616331999999991</v>
      </c>
    </row>
    <row r="90" spans="1:9" x14ac:dyDescent="0.3">
      <c r="A90" t="s">
        <v>19</v>
      </c>
      <c r="B90" s="1" t="s">
        <v>46</v>
      </c>
      <c r="C90" s="1" t="s">
        <v>44</v>
      </c>
      <c r="D90">
        <f>IF(VLOOKUP(B90,'aturan_fuzzy (rule)'!$A$2:$E$28,2,FALSE)="Rendah",VLOOKUP(A90,fuzzifikasi!$A:$M,3,FALSE),IF(VLOOKUP(B90,'aturan_fuzzy (rule)'!$A$2:$E$28,2,FALSE)="Sedang",VLOOKUP(A90,fuzzifikasi!$A:$M,4,FALSE),VLOOKUP(A90,fuzzifikasi!$A:$M,5,FALSE)))</f>
        <v>0.83333333333333337</v>
      </c>
      <c r="E90">
        <f>IF(VLOOKUP(B90,'aturan_fuzzy (rule)'!$A$2:$E$28,3,FALSE)="Rendah",VLOOKUP(A90,fuzzifikasi!$A:$M,7,FALSE),IF(VLOOKUP(B90,'aturan_fuzzy (rule)'!$A$2:$E$28,3,FALSE)="Sedang",VLOOKUP(A90,fuzzifikasi!$A:$M,8,FALSE),VLOOKUP(A90,fuzzifikasi!$A:$M,9,FALSE)))</f>
        <v>0.69840000000000002</v>
      </c>
      <c r="F90">
        <f>IF(VLOOKUP(B90,'aturan_fuzzy (rule)'!$A$2:$E$28,4,FALSE)="Rendah",VLOOKUP(A90,fuzzifikasi!$A:$M,11,FALSE),IF(VLOOKUP(B90,'aturan_fuzzy (rule)'!$A$2:$E$28,4,FALSE)="Sedang",VLOOKUP(A90,fuzzifikasi!$A:$M,12,FALSE),VLOOKUP(A90,fuzzifikasi!$A:$M,13,FALSE)))</f>
        <v>0.80774999999999997</v>
      </c>
      <c r="G90">
        <f t="shared" si="3"/>
        <v>0.69840000000000002</v>
      </c>
      <c r="H90">
        <f t="shared" si="4"/>
        <v>90.951999999999998</v>
      </c>
      <c r="I90">
        <f t="shared" si="5"/>
        <v>63.520876800000003</v>
      </c>
    </row>
    <row r="91" spans="1:9" x14ac:dyDescent="0.3">
      <c r="A91" t="s">
        <v>19</v>
      </c>
      <c r="B91" s="1" t="s">
        <v>47</v>
      </c>
      <c r="C91" s="1" t="s">
        <v>44</v>
      </c>
      <c r="D91">
        <f>IF(VLOOKUP(B91,'aturan_fuzzy (rule)'!$A$2:$E$28,2,FALSE)="Rendah",VLOOKUP(A91,fuzzifikasi!$A:$M,3,FALSE),IF(VLOOKUP(B91,'aturan_fuzzy (rule)'!$A$2:$E$28,2,FALSE)="Sedang",VLOOKUP(A91,fuzzifikasi!$A:$M,4,FALSE),VLOOKUP(A91,fuzzifikasi!$A:$M,5,FALSE)))</f>
        <v>0.83333333333333337</v>
      </c>
      <c r="E91">
        <f>IF(VLOOKUP(B91,'aturan_fuzzy (rule)'!$A$2:$E$28,3,FALSE)="Rendah",VLOOKUP(A91,fuzzifikasi!$A:$M,7,FALSE),IF(VLOOKUP(B91,'aturan_fuzzy (rule)'!$A$2:$E$28,3,FALSE)="Sedang",VLOOKUP(A91,fuzzifikasi!$A:$M,8,FALSE),VLOOKUP(A91,fuzzifikasi!$A:$M,9,FALSE)))</f>
        <v>0.69840000000000002</v>
      </c>
      <c r="F91">
        <f>IF(VLOOKUP(B91,'aturan_fuzzy (rule)'!$A$2:$E$28,4,FALSE)="Rendah",VLOOKUP(A91,fuzzifikasi!$A:$M,11,FALSE),IF(VLOOKUP(B91,'aturan_fuzzy (rule)'!$A$2:$E$28,4,FALSE)="Sedang",VLOOKUP(A91,fuzzifikasi!$A:$M,12,FALSE),VLOOKUP(A91,fuzzifikasi!$A:$M,13,FALSE)))</f>
        <v>0</v>
      </c>
      <c r="G91">
        <f t="shared" si="3"/>
        <v>0</v>
      </c>
      <c r="H91">
        <f t="shared" si="4"/>
        <v>70</v>
      </c>
      <c r="I91">
        <f t="shared" si="5"/>
        <v>0</v>
      </c>
    </row>
    <row r="92" spans="1:9" x14ac:dyDescent="0.3">
      <c r="A92" t="s">
        <v>19</v>
      </c>
      <c r="B92" s="1" t="s">
        <v>48</v>
      </c>
      <c r="C92" s="1" t="s">
        <v>44</v>
      </c>
      <c r="D92">
        <f>IF(VLOOKUP(B92,'aturan_fuzzy (rule)'!$A$2:$E$28,2,FALSE)="Rendah",VLOOKUP(A92,fuzzifikasi!$A:$M,3,FALSE),IF(VLOOKUP(B92,'aturan_fuzzy (rule)'!$A$2:$E$28,2,FALSE)="Sedang",VLOOKUP(A92,fuzzifikasi!$A:$M,4,FALSE),VLOOKUP(A92,fuzzifikasi!$A:$M,5,FALSE)))</f>
        <v>0.83333333333333337</v>
      </c>
      <c r="E92">
        <f>IF(VLOOKUP(B92,'aturan_fuzzy (rule)'!$A$2:$E$28,3,FALSE)="Rendah",VLOOKUP(A92,fuzzifikasi!$A:$M,7,FALSE),IF(VLOOKUP(B92,'aturan_fuzzy (rule)'!$A$2:$E$28,3,FALSE)="Sedang",VLOOKUP(A92,fuzzifikasi!$A:$M,8,FALSE),VLOOKUP(A92,fuzzifikasi!$A:$M,9,FALSE)))</f>
        <v>0</v>
      </c>
      <c r="F92">
        <f>IF(VLOOKUP(B92,'aturan_fuzzy (rule)'!$A$2:$E$28,4,FALSE)="Rendah",VLOOKUP(A92,fuzzifikasi!$A:$M,11,FALSE),IF(VLOOKUP(B92,'aturan_fuzzy (rule)'!$A$2:$E$28,4,FALSE)="Sedang",VLOOKUP(A92,fuzzifikasi!$A:$M,12,FALSE),VLOOKUP(A92,fuzzifikasi!$A:$M,13,FALSE)))</f>
        <v>0.15379999999999999</v>
      </c>
      <c r="G92">
        <f t="shared" si="3"/>
        <v>0</v>
      </c>
      <c r="H92">
        <f t="shared" si="4"/>
        <v>70</v>
      </c>
      <c r="I92">
        <f t="shared" si="5"/>
        <v>0</v>
      </c>
    </row>
    <row r="93" spans="1:9" x14ac:dyDescent="0.3">
      <c r="A93" t="s">
        <v>19</v>
      </c>
      <c r="B93" s="1" t="s">
        <v>49</v>
      </c>
      <c r="C93" s="1" t="s">
        <v>44</v>
      </c>
      <c r="D93">
        <f>IF(VLOOKUP(B93,'aturan_fuzzy (rule)'!$A$2:$E$28,2,FALSE)="Rendah",VLOOKUP(A93,fuzzifikasi!$A:$M,3,FALSE),IF(VLOOKUP(B93,'aturan_fuzzy (rule)'!$A$2:$E$28,2,FALSE)="Sedang",VLOOKUP(A93,fuzzifikasi!$A:$M,4,FALSE),VLOOKUP(A93,fuzzifikasi!$A:$M,5,FALSE)))</f>
        <v>0.83333333333333337</v>
      </c>
      <c r="E93">
        <f>IF(VLOOKUP(B93,'aturan_fuzzy (rule)'!$A$2:$E$28,3,FALSE)="Rendah",VLOOKUP(A93,fuzzifikasi!$A:$M,7,FALSE),IF(VLOOKUP(B93,'aturan_fuzzy (rule)'!$A$2:$E$28,3,FALSE)="Sedang",VLOOKUP(A93,fuzzifikasi!$A:$M,8,FALSE),VLOOKUP(A93,fuzzifikasi!$A:$M,9,FALSE)))</f>
        <v>0</v>
      </c>
      <c r="F93">
        <f>IF(VLOOKUP(B93,'aturan_fuzzy (rule)'!$A$2:$E$28,4,FALSE)="Rendah",VLOOKUP(A93,fuzzifikasi!$A:$M,11,FALSE),IF(VLOOKUP(B93,'aturan_fuzzy (rule)'!$A$2:$E$28,4,FALSE)="Sedang",VLOOKUP(A93,fuzzifikasi!$A:$M,12,FALSE),VLOOKUP(A93,fuzzifikasi!$A:$M,13,FALSE)))</f>
        <v>0.80774999999999997</v>
      </c>
      <c r="G93">
        <f t="shared" si="3"/>
        <v>0</v>
      </c>
      <c r="H93">
        <f t="shared" si="4"/>
        <v>70</v>
      </c>
      <c r="I93">
        <f t="shared" si="5"/>
        <v>0</v>
      </c>
    </row>
    <row r="94" spans="1:9" x14ac:dyDescent="0.3">
      <c r="A94" t="s">
        <v>19</v>
      </c>
      <c r="B94" s="1" t="s">
        <v>50</v>
      </c>
      <c r="C94" s="1" t="s">
        <v>44</v>
      </c>
      <c r="D94">
        <f>IF(VLOOKUP(B94,'aturan_fuzzy (rule)'!$A$2:$E$28,2,FALSE)="Rendah",VLOOKUP(A94,fuzzifikasi!$A:$M,3,FALSE),IF(VLOOKUP(B94,'aturan_fuzzy (rule)'!$A$2:$E$28,2,FALSE)="Sedang",VLOOKUP(A94,fuzzifikasi!$A:$M,4,FALSE),VLOOKUP(A94,fuzzifikasi!$A:$M,5,FALSE)))</f>
        <v>0.83333333333333337</v>
      </c>
      <c r="E94">
        <f>IF(VLOOKUP(B94,'aturan_fuzzy (rule)'!$A$2:$E$28,3,FALSE)="Rendah",VLOOKUP(A94,fuzzifikasi!$A:$M,7,FALSE),IF(VLOOKUP(B94,'aturan_fuzzy (rule)'!$A$2:$E$28,3,FALSE)="Sedang",VLOOKUP(A94,fuzzifikasi!$A:$M,8,FALSE),VLOOKUP(A94,fuzzifikasi!$A:$M,9,FALSE)))</f>
        <v>0</v>
      </c>
      <c r="F94">
        <f>IF(VLOOKUP(B94,'aturan_fuzzy (rule)'!$A$2:$E$28,4,FALSE)="Rendah",VLOOKUP(A94,fuzzifikasi!$A:$M,11,FALSE),IF(VLOOKUP(B94,'aturan_fuzzy (rule)'!$A$2:$E$28,4,FALSE)="Sedang",VLOOKUP(A94,fuzzifikasi!$A:$M,12,FALSE),VLOOKUP(A94,fuzzifikasi!$A:$M,13,FALSE)))</f>
        <v>0</v>
      </c>
      <c r="G94">
        <f t="shared" si="3"/>
        <v>0</v>
      </c>
      <c r="H94">
        <f t="shared" si="4"/>
        <v>70</v>
      </c>
      <c r="I94">
        <f t="shared" si="5"/>
        <v>0</v>
      </c>
    </row>
    <row r="95" spans="1:9" x14ac:dyDescent="0.3">
      <c r="A95" t="s">
        <v>19</v>
      </c>
      <c r="B95" s="1" t="s">
        <v>51</v>
      </c>
      <c r="C95" s="1" t="s">
        <v>52</v>
      </c>
      <c r="D95">
        <f>IF(VLOOKUP(B95,'aturan_fuzzy (rule)'!$A$2:$E$28,2,FALSE)="Rendah",VLOOKUP(A95,fuzzifikasi!$A:$M,3,FALSE),IF(VLOOKUP(B95,'aturan_fuzzy (rule)'!$A$2:$E$28,2,FALSE)="Sedang",VLOOKUP(A95,fuzzifikasi!$A:$M,4,FALSE),VLOOKUP(A95,fuzzifikasi!$A:$M,5,FALSE)))</f>
        <v>0.16666666666666666</v>
      </c>
      <c r="E95">
        <f>IF(VLOOKUP(B95,'aturan_fuzzy (rule)'!$A$2:$E$28,3,FALSE)="Rendah",VLOOKUP(A95,fuzzifikasi!$A:$M,7,FALSE),IF(VLOOKUP(B95,'aturan_fuzzy (rule)'!$A$2:$E$28,3,FALSE)="Sedang",VLOOKUP(A95,fuzzifikasi!$A:$M,8,FALSE),VLOOKUP(A95,fuzzifikasi!$A:$M,9,FALSE)))</f>
        <v>0</v>
      </c>
      <c r="F95">
        <f>IF(VLOOKUP(B95,'aturan_fuzzy (rule)'!$A$2:$E$28,4,FALSE)="Rendah",VLOOKUP(A95,fuzzifikasi!$A:$M,11,FALSE),IF(VLOOKUP(B95,'aturan_fuzzy (rule)'!$A$2:$E$28,4,FALSE)="Sedang",VLOOKUP(A95,fuzzifikasi!$A:$M,12,FALSE),VLOOKUP(A95,fuzzifikasi!$A:$M,13,FALSE)))</f>
        <v>0.15379999999999999</v>
      </c>
      <c r="G95">
        <f t="shared" si="3"/>
        <v>0</v>
      </c>
      <c r="H95">
        <f t="shared" si="4"/>
        <v>40</v>
      </c>
      <c r="I95">
        <f t="shared" si="5"/>
        <v>0</v>
      </c>
    </row>
    <row r="96" spans="1:9" x14ac:dyDescent="0.3">
      <c r="A96" t="s">
        <v>19</v>
      </c>
      <c r="B96" s="1" t="s">
        <v>53</v>
      </c>
      <c r="C96" s="1" t="s">
        <v>41</v>
      </c>
      <c r="D96">
        <f>IF(VLOOKUP(B96,'aturan_fuzzy (rule)'!$A$2:$E$28,2,FALSE)="Rendah",VLOOKUP(A96,fuzzifikasi!$A:$M,3,FALSE),IF(VLOOKUP(B96,'aturan_fuzzy (rule)'!$A$2:$E$28,2,FALSE)="Sedang",VLOOKUP(A96,fuzzifikasi!$A:$M,4,FALSE),VLOOKUP(A96,fuzzifikasi!$A:$M,5,FALSE)))</f>
        <v>0.16666666666666666</v>
      </c>
      <c r="E96">
        <f>IF(VLOOKUP(B96,'aturan_fuzzy (rule)'!$A$2:$E$28,3,FALSE)="Rendah",VLOOKUP(A96,fuzzifikasi!$A:$M,7,FALSE),IF(VLOOKUP(B96,'aturan_fuzzy (rule)'!$A$2:$E$28,3,FALSE)="Sedang",VLOOKUP(A96,fuzzifikasi!$A:$M,8,FALSE),VLOOKUP(A96,fuzzifikasi!$A:$M,9,FALSE)))</f>
        <v>0</v>
      </c>
      <c r="F96">
        <f>IF(VLOOKUP(B96,'aturan_fuzzy (rule)'!$A$2:$E$28,4,FALSE)="Rendah",VLOOKUP(A96,fuzzifikasi!$A:$M,11,FALSE),IF(VLOOKUP(B96,'aturan_fuzzy (rule)'!$A$2:$E$28,4,FALSE)="Sedang",VLOOKUP(A96,fuzzifikasi!$A:$M,12,FALSE),VLOOKUP(A96,fuzzifikasi!$A:$M,13,FALSE)))</f>
        <v>0.80774999999999997</v>
      </c>
      <c r="G96">
        <f t="shared" si="3"/>
        <v>0</v>
      </c>
      <c r="H96">
        <f t="shared" si="4"/>
        <v>40</v>
      </c>
      <c r="I96">
        <f t="shared" si="5"/>
        <v>0</v>
      </c>
    </row>
    <row r="97" spans="1:9" x14ac:dyDescent="0.3">
      <c r="A97" t="s">
        <v>19</v>
      </c>
      <c r="B97" s="1" t="s">
        <v>54</v>
      </c>
      <c r="C97" s="1" t="s">
        <v>41</v>
      </c>
      <c r="D97">
        <f>IF(VLOOKUP(B97,'aturan_fuzzy (rule)'!$A$2:$E$28,2,FALSE)="Rendah",VLOOKUP(A97,fuzzifikasi!$A:$M,3,FALSE),IF(VLOOKUP(B97,'aturan_fuzzy (rule)'!$A$2:$E$28,2,FALSE)="Sedang",VLOOKUP(A97,fuzzifikasi!$A:$M,4,FALSE),VLOOKUP(A97,fuzzifikasi!$A:$M,5,FALSE)))</f>
        <v>0.16666666666666666</v>
      </c>
      <c r="E97">
        <f>IF(VLOOKUP(B97,'aturan_fuzzy (rule)'!$A$2:$E$28,3,FALSE)="Rendah",VLOOKUP(A97,fuzzifikasi!$A:$M,7,FALSE),IF(VLOOKUP(B97,'aturan_fuzzy (rule)'!$A$2:$E$28,3,FALSE)="Sedang",VLOOKUP(A97,fuzzifikasi!$A:$M,8,FALSE),VLOOKUP(A97,fuzzifikasi!$A:$M,9,FALSE)))</f>
        <v>0</v>
      </c>
      <c r="F97">
        <f>IF(VLOOKUP(B97,'aturan_fuzzy (rule)'!$A$2:$E$28,4,FALSE)="Rendah",VLOOKUP(A97,fuzzifikasi!$A:$M,11,FALSE),IF(VLOOKUP(B97,'aturan_fuzzy (rule)'!$A$2:$E$28,4,FALSE)="Sedang",VLOOKUP(A97,fuzzifikasi!$A:$M,12,FALSE),VLOOKUP(A97,fuzzifikasi!$A:$M,13,FALSE)))</f>
        <v>0</v>
      </c>
      <c r="G97">
        <f t="shared" si="3"/>
        <v>0</v>
      </c>
      <c r="H97">
        <f t="shared" si="4"/>
        <v>40</v>
      </c>
      <c r="I97">
        <f t="shared" si="5"/>
        <v>0</v>
      </c>
    </row>
    <row r="98" spans="1:9" x14ac:dyDescent="0.3">
      <c r="A98" t="s">
        <v>19</v>
      </c>
      <c r="B98" s="1" t="s">
        <v>55</v>
      </c>
      <c r="C98" s="1" t="s">
        <v>41</v>
      </c>
      <c r="D98">
        <f>IF(VLOOKUP(B98,'aturan_fuzzy (rule)'!$A$2:$E$28,2,FALSE)="Rendah",VLOOKUP(A98,fuzzifikasi!$A:$M,3,FALSE),IF(VLOOKUP(B98,'aturan_fuzzy (rule)'!$A$2:$E$28,2,FALSE)="Sedang",VLOOKUP(A98,fuzzifikasi!$A:$M,4,FALSE),VLOOKUP(A98,fuzzifikasi!$A:$M,5,FALSE)))</f>
        <v>0.16666666666666666</v>
      </c>
      <c r="E98">
        <f>IF(VLOOKUP(B98,'aturan_fuzzy (rule)'!$A$2:$E$28,3,FALSE)="Rendah",VLOOKUP(A98,fuzzifikasi!$A:$M,7,FALSE),IF(VLOOKUP(B98,'aturan_fuzzy (rule)'!$A$2:$E$28,3,FALSE)="Sedang",VLOOKUP(A98,fuzzifikasi!$A:$M,8,FALSE),VLOOKUP(A98,fuzzifikasi!$A:$M,9,FALSE)))</f>
        <v>0.69840000000000002</v>
      </c>
      <c r="F98">
        <f>IF(VLOOKUP(B98,'aturan_fuzzy (rule)'!$A$2:$E$28,4,FALSE)="Rendah",VLOOKUP(A98,fuzzifikasi!$A:$M,11,FALSE),IF(VLOOKUP(B98,'aturan_fuzzy (rule)'!$A$2:$E$28,4,FALSE)="Sedang",VLOOKUP(A98,fuzzifikasi!$A:$M,12,FALSE),VLOOKUP(A98,fuzzifikasi!$A:$M,13,FALSE)))</f>
        <v>0.15379999999999999</v>
      </c>
      <c r="G98">
        <f t="shared" si="3"/>
        <v>0.15379999999999999</v>
      </c>
      <c r="H98">
        <f t="shared" si="4"/>
        <v>44.613999999999997</v>
      </c>
      <c r="I98">
        <f t="shared" si="5"/>
        <v>6.8616331999999991</v>
      </c>
    </row>
    <row r="99" spans="1:9" x14ac:dyDescent="0.3">
      <c r="A99" t="s">
        <v>19</v>
      </c>
      <c r="B99" s="1" t="s">
        <v>56</v>
      </c>
      <c r="C99" s="1" t="s">
        <v>41</v>
      </c>
      <c r="D99">
        <f>IF(VLOOKUP(B99,'aturan_fuzzy (rule)'!$A$2:$E$28,2,FALSE)="Rendah",VLOOKUP(A99,fuzzifikasi!$A:$M,3,FALSE),IF(VLOOKUP(B99,'aturan_fuzzy (rule)'!$A$2:$E$28,2,FALSE)="Sedang",VLOOKUP(A99,fuzzifikasi!$A:$M,4,FALSE),VLOOKUP(A99,fuzzifikasi!$A:$M,5,FALSE)))</f>
        <v>0.16666666666666666</v>
      </c>
      <c r="E99">
        <f>IF(VLOOKUP(B99,'aturan_fuzzy (rule)'!$A$2:$E$28,3,FALSE)="Rendah",VLOOKUP(A99,fuzzifikasi!$A:$M,7,FALSE),IF(VLOOKUP(B99,'aturan_fuzzy (rule)'!$A$2:$E$28,3,FALSE)="Sedang",VLOOKUP(A99,fuzzifikasi!$A:$M,8,FALSE),VLOOKUP(A99,fuzzifikasi!$A:$M,9,FALSE)))</f>
        <v>0.69840000000000002</v>
      </c>
      <c r="F99">
        <f>IF(VLOOKUP(B99,'aturan_fuzzy (rule)'!$A$2:$E$28,4,FALSE)="Rendah",VLOOKUP(A99,fuzzifikasi!$A:$M,11,FALSE),IF(VLOOKUP(B99,'aturan_fuzzy (rule)'!$A$2:$E$28,4,FALSE)="Sedang",VLOOKUP(A99,fuzzifikasi!$A:$M,12,FALSE),VLOOKUP(A99,fuzzifikasi!$A:$M,13,FALSE)))</f>
        <v>0.80774999999999997</v>
      </c>
      <c r="G99">
        <f t="shared" si="3"/>
        <v>0.16666666666666666</v>
      </c>
      <c r="H99">
        <f t="shared" si="4"/>
        <v>45</v>
      </c>
      <c r="I99">
        <f t="shared" si="5"/>
        <v>7.5</v>
      </c>
    </row>
    <row r="100" spans="1:9" x14ac:dyDescent="0.3">
      <c r="A100" t="s">
        <v>19</v>
      </c>
      <c r="B100" s="1" t="s">
        <v>57</v>
      </c>
      <c r="C100" s="1" t="s">
        <v>44</v>
      </c>
      <c r="D100">
        <f>IF(VLOOKUP(B100,'aturan_fuzzy (rule)'!$A$2:$E$28,2,FALSE)="Rendah",VLOOKUP(A100,fuzzifikasi!$A:$M,3,FALSE),IF(VLOOKUP(B100,'aturan_fuzzy (rule)'!$A$2:$E$28,2,FALSE)="Sedang",VLOOKUP(A100,fuzzifikasi!$A:$M,4,FALSE),VLOOKUP(A100,fuzzifikasi!$A:$M,5,FALSE)))</f>
        <v>0.16666666666666666</v>
      </c>
      <c r="E100">
        <f>IF(VLOOKUP(B100,'aturan_fuzzy (rule)'!$A$2:$E$28,3,FALSE)="Rendah",VLOOKUP(A100,fuzzifikasi!$A:$M,7,FALSE),IF(VLOOKUP(B100,'aturan_fuzzy (rule)'!$A$2:$E$28,3,FALSE)="Sedang",VLOOKUP(A100,fuzzifikasi!$A:$M,8,FALSE),VLOOKUP(A100,fuzzifikasi!$A:$M,9,FALSE)))</f>
        <v>0.69840000000000002</v>
      </c>
      <c r="F100">
        <f>IF(VLOOKUP(B100,'aturan_fuzzy (rule)'!$A$2:$E$28,4,FALSE)="Rendah",VLOOKUP(A100,fuzzifikasi!$A:$M,11,FALSE),IF(VLOOKUP(B100,'aturan_fuzzy (rule)'!$A$2:$E$28,4,FALSE)="Sedang",VLOOKUP(A100,fuzzifikasi!$A:$M,12,FALSE),VLOOKUP(A100,fuzzifikasi!$A:$M,13,FALSE)))</f>
        <v>0</v>
      </c>
      <c r="G100">
        <f t="shared" si="3"/>
        <v>0</v>
      </c>
      <c r="H100">
        <f t="shared" si="4"/>
        <v>70</v>
      </c>
      <c r="I100">
        <f t="shared" si="5"/>
        <v>0</v>
      </c>
    </row>
    <row r="101" spans="1:9" x14ac:dyDescent="0.3">
      <c r="A101" t="s">
        <v>19</v>
      </c>
      <c r="B101" s="1" t="s">
        <v>58</v>
      </c>
      <c r="C101" s="1" t="s">
        <v>41</v>
      </c>
      <c r="D101">
        <f>IF(VLOOKUP(B101,'aturan_fuzzy (rule)'!$A$2:$E$28,2,FALSE)="Rendah",VLOOKUP(A101,fuzzifikasi!$A:$M,3,FALSE),IF(VLOOKUP(B101,'aturan_fuzzy (rule)'!$A$2:$E$28,2,FALSE)="Sedang",VLOOKUP(A101,fuzzifikasi!$A:$M,4,FALSE),VLOOKUP(A101,fuzzifikasi!$A:$M,5,FALSE)))</f>
        <v>0.16666666666666666</v>
      </c>
      <c r="E101">
        <f>IF(VLOOKUP(B101,'aturan_fuzzy (rule)'!$A$2:$E$28,3,FALSE)="Rendah",VLOOKUP(A101,fuzzifikasi!$A:$M,7,FALSE),IF(VLOOKUP(B101,'aturan_fuzzy (rule)'!$A$2:$E$28,3,FALSE)="Sedang",VLOOKUP(A101,fuzzifikasi!$A:$M,8,FALSE),VLOOKUP(A101,fuzzifikasi!$A:$M,9,FALSE)))</f>
        <v>0</v>
      </c>
      <c r="F101">
        <f>IF(VLOOKUP(B101,'aturan_fuzzy (rule)'!$A$2:$E$28,4,FALSE)="Rendah",VLOOKUP(A101,fuzzifikasi!$A:$M,11,FALSE),IF(VLOOKUP(B101,'aturan_fuzzy (rule)'!$A$2:$E$28,4,FALSE)="Sedang",VLOOKUP(A101,fuzzifikasi!$A:$M,12,FALSE),VLOOKUP(A101,fuzzifikasi!$A:$M,13,FALSE)))</f>
        <v>0.15379999999999999</v>
      </c>
      <c r="G101">
        <f t="shared" si="3"/>
        <v>0</v>
      </c>
      <c r="H101">
        <f t="shared" si="4"/>
        <v>40</v>
      </c>
      <c r="I101">
        <f t="shared" si="5"/>
        <v>0</v>
      </c>
    </row>
    <row r="102" spans="1:9" x14ac:dyDescent="0.3">
      <c r="A102" t="s">
        <v>19</v>
      </c>
      <c r="B102" s="1" t="s">
        <v>59</v>
      </c>
      <c r="C102" s="1" t="s">
        <v>44</v>
      </c>
      <c r="D102">
        <f>IF(VLOOKUP(B102,'aturan_fuzzy (rule)'!$A$2:$E$28,2,FALSE)="Rendah",VLOOKUP(A102,fuzzifikasi!$A:$M,3,FALSE),IF(VLOOKUP(B102,'aturan_fuzzy (rule)'!$A$2:$E$28,2,FALSE)="Sedang",VLOOKUP(A102,fuzzifikasi!$A:$M,4,FALSE),VLOOKUP(A102,fuzzifikasi!$A:$M,5,FALSE)))</f>
        <v>0.16666666666666666</v>
      </c>
      <c r="E102">
        <f>IF(VLOOKUP(B102,'aturan_fuzzy (rule)'!$A$2:$E$28,3,FALSE)="Rendah",VLOOKUP(A102,fuzzifikasi!$A:$M,7,FALSE),IF(VLOOKUP(B102,'aturan_fuzzy (rule)'!$A$2:$E$28,3,FALSE)="Sedang",VLOOKUP(A102,fuzzifikasi!$A:$M,8,FALSE),VLOOKUP(A102,fuzzifikasi!$A:$M,9,FALSE)))</f>
        <v>0</v>
      </c>
      <c r="F102">
        <f>IF(VLOOKUP(B102,'aturan_fuzzy (rule)'!$A$2:$E$28,4,FALSE)="Rendah",VLOOKUP(A102,fuzzifikasi!$A:$M,11,FALSE),IF(VLOOKUP(B102,'aturan_fuzzy (rule)'!$A$2:$E$28,4,FALSE)="Sedang",VLOOKUP(A102,fuzzifikasi!$A:$M,12,FALSE),VLOOKUP(A102,fuzzifikasi!$A:$M,13,FALSE)))</f>
        <v>0.80774999999999997</v>
      </c>
      <c r="G102">
        <f t="shared" si="3"/>
        <v>0</v>
      </c>
      <c r="H102">
        <f t="shared" si="4"/>
        <v>70</v>
      </c>
      <c r="I102">
        <f t="shared" si="5"/>
        <v>0</v>
      </c>
    </row>
    <row r="103" spans="1:9" x14ac:dyDescent="0.3">
      <c r="A103" t="s">
        <v>19</v>
      </c>
      <c r="B103" s="1" t="s">
        <v>60</v>
      </c>
      <c r="C103" s="1" t="s">
        <v>44</v>
      </c>
      <c r="D103">
        <f>IF(VLOOKUP(B103,'aturan_fuzzy (rule)'!$A$2:$E$28,2,FALSE)="Rendah",VLOOKUP(A103,fuzzifikasi!$A:$M,3,FALSE),IF(VLOOKUP(B103,'aturan_fuzzy (rule)'!$A$2:$E$28,2,FALSE)="Sedang",VLOOKUP(A103,fuzzifikasi!$A:$M,4,FALSE),VLOOKUP(A103,fuzzifikasi!$A:$M,5,FALSE)))</f>
        <v>0.16666666666666666</v>
      </c>
      <c r="E103">
        <f>IF(VLOOKUP(B103,'aturan_fuzzy (rule)'!$A$2:$E$28,3,FALSE)="Rendah",VLOOKUP(A103,fuzzifikasi!$A:$M,7,FALSE),IF(VLOOKUP(B103,'aturan_fuzzy (rule)'!$A$2:$E$28,3,FALSE)="Sedang",VLOOKUP(A103,fuzzifikasi!$A:$M,8,FALSE),VLOOKUP(A103,fuzzifikasi!$A:$M,9,FALSE)))</f>
        <v>0</v>
      </c>
      <c r="F103">
        <f>IF(VLOOKUP(B103,'aturan_fuzzy (rule)'!$A$2:$E$28,4,FALSE)="Rendah",VLOOKUP(A103,fuzzifikasi!$A:$M,11,FALSE),IF(VLOOKUP(B103,'aturan_fuzzy (rule)'!$A$2:$E$28,4,FALSE)="Sedang",VLOOKUP(A103,fuzzifikasi!$A:$M,12,FALSE),VLOOKUP(A103,fuzzifikasi!$A:$M,13,FALSE)))</f>
        <v>0</v>
      </c>
      <c r="G103">
        <f t="shared" si="3"/>
        <v>0</v>
      </c>
      <c r="H103">
        <f t="shared" si="4"/>
        <v>70</v>
      </c>
      <c r="I103">
        <f t="shared" si="5"/>
        <v>0</v>
      </c>
    </row>
    <row r="104" spans="1:9" x14ac:dyDescent="0.3">
      <c r="A104" t="s">
        <v>19</v>
      </c>
      <c r="B104" s="1" t="s">
        <v>61</v>
      </c>
      <c r="C104" s="1" t="s">
        <v>52</v>
      </c>
      <c r="D104">
        <f>IF(VLOOKUP(B104,'aturan_fuzzy (rule)'!$A$2:$E$28,2,FALSE)="Rendah",VLOOKUP(A104,fuzzifikasi!$A:$M,3,FALSE),IF(VLOOKUP(B104,'aturan_fuzzy (rule)'!$A$2:$E$28,2,FALSE)="Sedang",VLOOKUP(A104,fuzzifikasi!$A:$M,4,FALSE),VLOOKUP(A104,fuzzifikasi!$A:$M,5,FALSE)))</f>
        <v>0</v>
      </c>
      <c r="E104">
        <f>IF(VLOOKUP(B104,'aturan_fuzzy (rule)'!$A$2:$E$28,3,FALSE)="Rendah",VLOOKUP(A104,fuzzifikasi!$A:$M,7,FALSE),IF(VLOOKUP(B104,'aturan_fuzzy (rule)'!$A$2:$E$28,3,FALSE)="Sedang",VLOOKUP(A104,fuzzifikasi!$A:$M,8,FALSE),VLOOKUP(A104,fuzzifikasi!$A:$M,9,FALSE)))</f>
        <v>0</v>
      </c>
      <c r="F104">
        <f>IF(VLOOKUP(B104,'aturan_fuzzy (rule)'!$A$2:$E$28,4,FALSE)="Rendah",VLOOKUP(A104,fuzzifikasi!$A:$M,11,FALSE),IF(VLOOKUP(B104,'aturan_fuzzy (rule)'!$A$2:$E$28,4,FALSE)="Sedang",VLOOKUP(A104,fuzzifikasi!$A:$M,12,FALSE),VLOOKUP(A104,fuzzifikasi!$A:$M,13,FALSE)))</f>
        <v>0.15379999999999999</v>
      </c>
      <c r="G104">
        <f t="shared" si="3"/>
        <v>0</v>
      </c>
      <c r="H104">
        <f t="shared" si="4"/>
        <v>40</v>
      </c>
      <c r="I104">
        <f t="shared" si="5"/>
        <v>0</v>
      </c>
    </row>
    <row r="105" spans="1:9" x14ac:dyDescent="0.3">
      <c r="A105" t="s">
        <v>19</v>
      </c>
      <c r="B105" s="1" t="s">
        <v>62</v>
      </c>
      <c r="C105" s="1" t="s">
        <v>52</v>
      </c>
      <c r="D105">
        <f>IF(VLOOKUP(B105,'aturan_fuzzy (rule)'!$A$2:$E$28,2,FALSE)="Rendah",VLOOKUP(A105,fuzzifikasi!$A:$M,3,FALSE),IF(VLOOKUP(B105,'aturan_fuzzy (rule)'!$A$2:$E$28,2,FALSE)="Sedang",VLOOKUP(A105,fuzzifikasi!$A:$M,4,FALSE),VLOOKUP(A105,fuzzifikasi!$A:$M,5,FALSE)))</f>
        <v>0</v>
      </c>
      <c r="E105">
        <f>IF(VLOOKUP(B105,'aturan_fuzzy (rule)'!$A$2:$E$28,3,FALSE)="Rendah",VLOOKUP(A105,fuzzifikasi!$A:$M,7,FALSE),IF(VLOOKUP(B105,'aturan_fuzzy (rule)'!$A$2:$E$28,3,FALSE)="Sedang",VLOOKUP(A105,fuzzifikasi!$A:$M,8,FALSE),VLOOKUP(A105,fuzzifikasi!$A:$M,9,FALSE)))</f>
        <v>0</v>
      </c>
      <c r="F105">
        <f>IF(VLOOKUP(B105,'aturan_fuzzy (rule)'!$A$2:$E$28,4,FALSE)="Rendah",VLOOKUP(A105,fuzzifikasi!$A:$M,11,FALSE),IF(VLOOKUP(B105,'aturan_fuzzy (rule)'!$A$2:$E$28,4,FALSE)="Sedang",VLOOKUP(A105,fuzzifikasi!$A:$M,12,FALSE),VLOOKUP(A105,fuzzifikasi!$A:$M,13,FALSE)))</f>
        <v>0.80774999999999997</v>
      </c>
      <c r="G105">
        <f t="shared" si="3"/>
        <v>0</v>
      </c>
      <c r="H105">
        <f t="shared" si="4"/>
        <v>40</v>
      </c>
      <c r="I105">
        <f t="shared" si="5"/>
        <v>0</v>
      </c>
    </row>
    <row r="106" spans="1:9" x14ac:dyDescent="0.3">
      <c r="A106" t="s">
        <v>19</v>
      </c>
      <c r="B106" s="1" t="s">
        <v>63</v>
      </c>
      <c r="C106" s="1" t="s">
        <v>41</v>
      </c>
      <c r="D106">
        <f>IF(VLOOKUP(B106,'aturan_fuzzy (rule)'!$A$2:$E$28,2,FALSE)="Rendah",VLOOKUP(A106,fuzzifikasi!$A:$M,3,FALSE),IF(VLOOKUP(B106,'aturan_fuzzy (rule)'!$A$2:$E$28,2,FALSE)="Sedang",VLOOKUP(A106,fuzzifikasi!$A:$M,4,FALSE),VLOOKUP(A106,fuzzifikasi!$A:$M,5,FALSE)))</f>
        <v>0</v>
      </c>
      <c r="E106">
        <f>IF(VLOOKUP(B106,'aturan_fuzzy (rule)'!$A$2:$E$28,3,FALSE)="Rendah",VLOOKUP(A106,fuzzifikasi!$A:$M,7,FALSE),IF(VLOOKUP(B106,'aturan_fuzzy (rule)'!$A$2:$E$28,3,FALSE)="Sedang",VLOOKUP(A106,fuzzifikasi!$A:$M,8,FALSE),VLOOKUP(A106,fuzzifikasi!$A:$M,9,FALSE)))</f>
        <v>0</v>
      </c>
      <c r="F106">
        <f>IF(VLOOKUP(B106,'aturan_fuzzy (rule)'!$A$2:$E$28,4,FALSE)="Rendah",VLOOKUP(A106,fuzzifikasi!$A:$M,11,FALSE),IF(VLOOKUP(B106,'aturan_fuzzy (rule)'!$A$2:$E$28,4,FALSE)="Sedang",VLOOKUP(A106,fuzzifikasi!$A:$M,12,FALSE),VLOOKUP(A106,fuzzifikasi!$A:$M,13,FALSE)))</f>
        <v>0</v>
      </c>
      <c r="G106">
        <f t="shared" si="3"/>
        <v>0</v>
      </c>
      <c r="H106">
        <f t="shared" si="4"/>
        <v>40</v>
      </c>
      <c r="I106">
        <f t="shared" si="5"/>
        <v>0</v>
      </c>
    </row>
    <row r="107" spans="1:9" x14ac:dyDescent="0.3">
      <c r="A107" t="s">
        <v>19</v>
      </c>
      <c r="B107" s="1" t="s">
        <v>64</v>
      </c>
      <c r="C107" s="1" t="s">
        <v>52</v>
      </c>
      <c r="D107">
        <f>IF(VLOOKUP(B107,'aturan_fuzzy (rule)'!$A$2:$E$28,2,FALSE)="Rendah",VLOOKUP(A107,fuzzifikasi!$A:$M,3,FALSE),IF(VLOOKUP(B107,'aturan_fuzzy (rule)'!$A$2:$E$28,2,FALSE)="Sedang",VLOOKUP(A107,fuzzifikasi!$A:$M,4,FALSE),VLOOKUP(A107,fuzzifikasi!$A:$M,5,FALSE)))</f>
        <v>0</v>
      </c>
      <c r="E107">
        <f>IF(VLOOKUP(B107,'aturan_fuzzy (rule)'!$A$2:$E$28,3,FALSE)="Rendah",VLOOKUP(A107,fuzzifikasi!$A:$M,7,FALSE),IF(VLOOKUP(B107,'aturan_fuzzy (rule)'!$A$2:$E$28,3,FALSE)="Sedang",VLOOKUP(A107,fuzzifikasi!$A:$M,8,FALSE),VLOOKUP(A107,fuzzifikasi!$A:$M,9,FALSE)))</f>
        <v>0.69840000000000002</v>
      </c>
      <c r="F107">
        <f>IF(VLOOKUP(B107,'aturan_fuzzy (rule)'!$A$2:$E$28,4,FALSE)="Rendah",VLOOKUP(A107,fuzzifikasi!$A:$M,11,FALSE),IF(VLOOKUP(B107,'aturan_fuzzy (rule)'!$A$2:$E$28,4,FALSE)="Sedang",VLOOKUP(A107,fuzzifikasi!$A:$M,12,FALSE),VLOOKUP(A107,fuzzifikasi!$A:$M,13,FALSE)))</f>
        <v>0.15379999999999999</v>
      </c>
      <c r="G107">
        <f t="shared" si="3"/>
        <v>0</v>
      </c>
      <c r="H107">
        <f t="shared" si="4"/>
        <v>40</v>
      </c>
      <c r="I107">
        <f t="shared" si="5"/>
        <v>0</v>
      </c>
    </row>
    <row r="108" spans="1:9" x14ac:dyDescent="0.3">
      <c r="A108" t="s">
        <v>19</v>
      </c>
      <c r="B108" s="1" t="s">
        <v>65</v>
      </c>
      <c r="C108" s="1" t="s">
        <v>41</v>
      </c>
      <c r="D108">
        <f>IF(VLOOKUP(B108,'aturan_fuzzy (rule)'!$A$2:$E$28,2,FALSE)="Rendah",VLOOKUP(A108,fuzzifikasi!$A:$M,3,FALSE),IF(VLOOKUP(B108,'aturan_fuzzy (rule)'!$A$2:$E$28,2,FALSE)="Sedang",VLOOKUP(A108,fuzzifikasi!$A:$M,4,FALSE),VLOOKUP(A108,fuzzifikasi!$A:$M,5,FALSE)))</f>
        <v>0</v>
      </c>
      <c r="E108">
        <f>IF(VLOOKUP(B108,'aturan_fuzzy (rule)'!$A$2:$E$28,3,FALSE)="Rendah",VLOOKUP(A108,fuzzifikasi!$A:$M,7,FALSE),IF(VLOOKUP(B108,'aturan_fuzzy (rule)'!$A$2:$E$28,3,FALSE)="Sedang",VLOOKUP(A108,fuzzifikasi!$A:$M,8,FALSE),VLOOKUP(A108,fuzzifikasi!$A:$M,9,FALSE)))</f>
        <v>0.69840000000000002</v>
      </c>
      <c r="F108">
        <f>IF(VLOOKUP(B108,'aturan_fuzzy (rule)'!$A$2:$E$28,4,FALSE)="Rendah",VLOOKUP(A108,fuzzifikasi!$A:$M,11,FALSE),IF(VLOOKUP(B108,'aturan_fuzzy (rule)'!$A$2:$E$28,4,FALSE)="Sedang",VLOOKUP(A108,fuzzifikasi!$A:$M,12,FALSE),VLOOKUP(A108,fuzzifikasi!$A:$M,13,FALSE)))</f>
        <v>0.80774999999999997</v>
      </c>
      <c r="G108">
        <f t="shared" si="3"/>
        <v>0</v>
      </c>
      <c r="H108">
        <f t="shared" si="4"/>
        <v>40</v>
      </c>
      <c r="I108">
        <f t="shared" si="5"/>
        <v>0</v>
      </c>
    </row>
    <row r="109" spans="1:9" x14ac:dyDescent="0.3">
      <c r="A109" t="s">
        <v>19</v>
      </c>
      <c r="B109" s="1" t="s">
        <v>66</v>
      </c>
      <c r="C109" s="1" t="s">
        <v>41</v>
      </c>
      <c r="D109">
        <f>IF(VLOOKUP(B109,'aturan_fuzzy (rule)'!$A$2:$E$28,2,FALSE)="Rendah",VLOOKUP(A109,fuzzifikasi!$A:$M,3,FALSE),IF(VLOOKUP(B109,'aturan_fuzzy (rule)'!$A$2:$E$28,2,FALSE)="Sedang",VLOOKUP(A109,fuzzifikasi!$A:$M,4,FALSE),VLOOKUP(A109,fuzzifikasi!$A:$M,5,FALSE)))</f>
        <v>0</v>
      </c>
      <c r="E109">
        <f>IF(VLOOKUP(B109,'aturan_fuzzy (rule)'!$A$2:$E$28,3,FALSE)="Rendah",VLOOKUP(A109,fuzzifikasi!$A:$M,7,FALSE),IF(VLOOKUP(B109,'aturan_fuzzy (rule)'!$A$2:$E$28,3,FALSE)="Sedang",VLOOKUP(A109,fuzzifikasi!$A:$M,8,FALSE),VLOOKUP(A109,fuzzifikasi!$A:$M,9,FALSE)))</f>
        <v>0.69840000000000002</v>
      </c>
      <c r="F109">
        <f>IF(VLOOKUP(B109,'aturan_fuzzy (rule)'!$A$2:$E$28,4,FALSE)="Rendah",VLOOKUP(A109,fuzzifikasi!$A:$M,11,FALSE),IF(VLOOKUP(B109,'aturan_fuzzy (rule)'!$A$2:$E$28,4,FALSE)="Sedang",VLOOKUP(A109,fuzzifikasi!$A:$M,12,FALSE),VLOOKUP(A109,fuzzifikasi!$A:$M,13,FALSE)))</f>
        <v>0</v>
      </c>
      <c r="G109">
        <f t="shared" si="3"/>
        <v>0</v>
      </c>
      <c r="H109">
        <f t="shared" si="4"/>
        <v>40</v>
      </c>
      <c r="I109">
        <f t="shared" si="5"/>
        <v>0</v>
      </c>
    </row>
    <row r="110" spans="1:9" x14ac:dyDescent="0.3">
      <c r="A110" t="s">
        <v>19</v>
      </c>
      <c r="B110" s="1" t="s">
        <v>67</v>
      </c>
      <c r="C110" s="1" t="s">
        <v>41</v>
      </c>
      <c r="D110">
        <f>IF(VLOOKUP(B110,'aturan_fuzzy (rule)'!$A$2:$E$28,2,FALSE)="Rendah",VLOOKUP(A110,fuzzifikasi!$A:$M,3,FALSE),IF(VLOOKUP(B110,'aturan_fuzzy (rule)'!$A$2:$E$28,2,FALSE)="Sedang",VLOOKUP(A110,fuzzifikasi!$A:$M,4,FALSE),VLOOKUP(A110,fuzzifikasi!$A:$M,5,FALSE)))</f>
        <v>0</v>
      </c>
      <c r="E110">
        <f>IF(VLOOKUP(B110,'aturan_fuzzy (rule)'!$A$2:$E$28,3,FALSE)="Rendah",VLOOKUP(A110,fuzzifikasi!$A:$M,7,FALSE),IF(VLOOKUP(B110,'aturan_fuzzy (rule)'!$A$2:$E$28,3,FALSE)="Sedang",VLOOKUP(A110,fuzzifikasi!$A:$M,8,FALSE),VLOOKUP(A110,fuzzifikasi!$A:$M,9,FALSE)))</f>
        <v>0</v>
      </c>
      <c r="F110">
        <f>IF(VLOOKUP(B110,'aturan_fuzzy (rule)'!$A$2:$E$28,4,FALSE)="Rendah",VLOOKUP(A110,fuzzifikasi!$A:$M,11,FALSE),IF(VLOOKUP(B110,'aturan_fuzzy (rule)'!$A$2:$E$28,4,FALSE)="Sedang",VLOOKUP(A110,fuzzifikasi!$A:$M,12,FALSE),VLOOKUP(A110,fuzzifikasi!$A:$M,13,FALSE)))</f>
        <v>0.15379999999999999</v>
      </c>
      <c r="G110">
        <f t="shared" si="3"/>
        <v>0</v>
      </c>
      <c r="H110">
        <f t="shared" si="4"/>
        <v>40</v>
      </c>
      <c r="I110">
        <f t="shared" si="5"/>
        <v>0</v>
      </c>
    </row>
    <row r="111" spans="1:9" x14ac:dyDescent="0.3">
      <c r="A111" t="s">
        <v>19</v>
      </c>
      <c r="B111" s="1" t="s">
        <v>68</v>
      </c>
      <c r="C111" s="1" t="s">
        <v>41</v>
      </c>
      <c r="D111">
        <f>IF(VLOOKUP(B111,'aturan_fuzzy (rule)'!$A$2:$E$28,2,FALSE)="Rendah",VLOOKUP(A111,fuzzifikasi!$A:$M,3,FALSE),IF(VLOOKUP(B111,'aturan_fuzzy (rule)'!$A$2:$E$28,2,FALSE)="Sedang",VLOOKUP(A111,fuzzifikasi!$A:$M,4,FALSE),VLOOKUP(A111,fuzzifikasi!$A:$M,5,FALSE)))</f>
        <v>0</v>
      </c>
      <c r="E111">
        <f>IF(VLOOKUP(B111,'aturan_fuzzy (rule)'!$A$2:$E$28,3,FALSE)="Rendah",VLOOKUP(A111,fuzzifikasi!$A:$M,7,FALSE),IF(VLOOKUP(B111,'aturan_fuzzy (rule)'!$A$2:$E$28,3,FALSE)="Sedang",VLOOKUP(A111,fuzzifikasi!$A:$M,8,FALSE),VLOOKUP(A111,fuzzifikasi!$A:$M,9,FALSE)))</f>
        <v>0</v>
      </c>
      <c r="F111">
        <f>IF(VLOOKUP(B111,'aturan_fuzzy (rule)'!$A$2:$E$28,4,FALSE)="Rendah",VLOOKUP(A111,fuzzifikasi!$A:$M,11,FALSE),IF(VLOOKUP(B111,'aturan_fuzzy (rule)'!$A$2:$E$28,4,FALSE)="Sedang",VLOOKUP(A111,fuzzifikasi!$A:$M,12,FALSE),VLOOKUP(A111,fuzzifikasi!$A:$M,13,FALSE)))</f>
        <v>0.80774999999999997</v>
      </c>
      <c r="G111">
        <f t="shared" si="3"/>
        <v>0</v>
      </c>
      <c r="H111">
        <f t="shared" si="4"/>
        <v>40</v>
      </c>
      <c r="I111">
        <f t="shared" si="5"/>
        <v>0</v>
      </c>
    </row>
    <row r="112" spans="1:9" x14ac:dyDescent="0.3">
      <c r="A112" t="s">
        <v>19</v>
      </c>
      <c r="B112" s="1" t="s">
        <v>69</v>
      </c>
      <c r="C112" s="1" t="s">
        <v>44</v>
      </c>
      <c r="D112">
        <f>IF(VLOOKUP(B112,'aturan_fuzzy (rule)'!$A$2:$E$28,2,FALSE)="Rendah",VLOOKUP(A112,fuzzifikasi!$A:$M,3,FALSE),IF(VLOOKUP(B112,'aturan_fuzzy (rule)'!$A$2:$E$28,2,FALSE)="Sedang",VLOOKUP(A112,fuzzifikasi!$A:$M,4,FALSE),VLOOKUP(A112,fuzzifikasi!$A:$M,5,FALSE)))</f>
        <v>0</v>
      </c>
      <c r="E112">
        <f>IF(VLOOKUP(B112,'aturan_fuzzy (rule)'!$A$2:$E$28,3,FALSE)="Rendah",VLOOKUP(A112,fuzzifikasi!$A:$M,7,FALSE),IF(VLOOKUP(B112,'aturan_fuzzy (rule)'!$A$2:$E$28,3,FALSE)="Sedang",VLOOKUP(A112,fuzzifikasi!$A:$M,8,FALSE),VLOOKUP(A112,fuzzifikasi!$A:$M,9,FALSE)))</f>
        <v>0</v>
      </c>
      <c r="F112">
        <f>IF(VLOOKUP(B112,'aturan_fuzzy (rule)'!$A$2:$E$28,4,FALSE)="Rendah",VLOOKUP(A112,fuzzifikasi!$A:$M,11,FALSE),IF(VLOOKUP(B112,'aturan_fuzzy (rule)'!$A$2:$E$28,4,FALSE)="Sedang",VLOOKUP(A112,fuzzifikasi!$A:$M,12,FALSE),VLOOKUP(A112,fuzzifikasi!$A:$M,13,FALSE)))</f>
        <v>0</v>
      </c>
      <c r="G112">
        <f t="shared" si="3"/>
        <v>0</v>
      </c>
      <c r="H112">
        <f t="shared" si="4"/>
        <v>70</v>
      </c>
      <c r="I112">
        <f t="shared" si="5"/>
        <v>0</v>
      </c>
    </row>
    <row r="114" spans="1:9" x14ac:dyDescent="0.3">
      <c r="A114" t="s">
        <v>17</v>
      </c>
      <c r="B114" s="1" t="s">
        <v>40</v>
      </c>
      <c r="C114" s="1" t="s">
        <v>41</v>
      </c>
      <c r="D114">
        <f>IF(VLOOKUP(B114,'aturan_fuzzy (rule)'!$A$2:$E$28,2,FALSE)="Rendah",VLOOKUP(A114,fuzzifikasi!$A:$M,3,FALSE),IF(VLOOKUP(B114,'aturan_fuzzy (rule)'!$A$2:$E$28,2,FALSE)="Sedang",VLOOKUP(A114,fuzzifikasi!$A:$M,4,FALSE),VLOOKUP(A114,fuzzifikasi!$A:$M,5,FALSE)))</f>
        <v>0.33333333333333331</v>
      </c>
      <c r="E114">
        <f>IF(VLOOKUP(B114,'aturan_fuzzy (rule)'!$A$2:$E$28,3,FALSE)="Rendah",VLOOKUP(A114,fuzzifikasi!$A:$M,7,FALSE),IF(VLOOKUP(B114,'aturan_fuzzy (rule)'!$A$2:$E$28,3,FALSE)="Sedang",VLOOKUP(A114,fuzzifikasi!$A:$M,8,FALSE),VLOOKUP(A114,fuzzifikasi!$A:$M,9,FALSE)))</f>
        <v>0</v>
      </c>
      <c r="F114">
        <f>IF(VLOOKUP(B114,'aturan_fuzzy (rule)'!$A$2:$E$28,4,FALSE)="Rendah",VLOOKUP(A114,fuzzifikasi!$A:$M,11,FALSE),IF(VLOOKUP(B114,'aturan_fuzzy (rule)'!$A$2:$E$28,4,FALSE)="Sedang",VLOOKUP(A114,fuzzifikasi!$A:$M,12,FALSE),VLOOKUP(A114,fuzzifikasi!$A:$M,13,FALSE)))</f>
        <v>0.115</v>
      </c>
      <c r="G114">
        <f t="shared" si="3"/>
        <v>0</v>
      </c>
      <c r="H114">
        <f t="shared" si="4"/>
        <v>40</v>
      </c>
      <c r="I114">
        <f t="shared" si="5"/>
        <v>0</v>
      </c>
    </row>
    <row r="115" spans="1:9" x14ac:dyDescent="0.3">
      <c r="A115" t="s">
        <v>17</v>
      </c>
      <c r="B115" s="1" t="s">
        <v>42</v>
      </c>
      <c r="C115" s="1" t="s">
        <v>41</v>
      </c>
      <c r="D115">
        <f>IF(VLOOKUP(B115,'aturan_fuzzy (rule)'!$A$2:$E$28,2,FALSE)="Rendah",VLOOKUP(A115,fuzzifikasi!$A:$M,3,FALSE),IF(VLOOKUP(B115,'aturan_fuzzy (rule)'!$A$2:$E$28,2,FALSE)="Sedang",VLOOKUP(A115,fuzzifikasi!$A:$M,4,FALSE),VLOOKUP(A115,fuzzifikasi!$A:$M,5,FALSE)))</f>
        <v>0.33333333333333331</v>
      </c>
      <c r="E115">
        <f>IF(VLOOKUP(B115,'aturan_fuzzy (rule)'!$A$2:$E$28,3,FALSE)="Rendah",VLOOKUP(A115,fuzzifikasi!$A:$M,7,FALSE),IF(VLOOKUP(B115,'aturan_fuzzy (rule)'!$A$2:$E$28,3,FALSE)="Sedang",VLOOKUP(A115,fuzzifikasi!$A:$M,8,FALSE),VLOOKUP(A115,fuzzifikasi!$A:$M,9,FALSE)))</f>
        <v>0</v>
      </c>
      <c r="F115">
        <f>IF(VLOOKUP(B115,'aturan_fuzzy (rule)'!$A$2:$E$28,4,FALSE)="Rendah",VLOOKUP(A115,fuzzifikasi!$A:$M,11,FALSE),IF(VLOOKUP(B115,'aturan_fuzzy (rule)'!$A$2:$E$28,4,FALSE)="Sedang",VLOOKUP(A115,fuzzifikasi!$A:$M,12,FALSE),VLOOKUP(A115,fuzzifikasi!$A:$M,13,FALSE)))</f>
        <v>0.85624999999999996</v>
      </c>
      <c r="G115">
        <f t="shared" si="3"/>
        <v>0</v>
      </c>
      <c r="H115">
        <f t="shared" si="4"/>
        <v>40</v>
      </c>
      <c r="I115">
        <f t="shared" si="5"/>
        <v>0</v>
      </c>
    </row>
    <row r="116" spans="1:9" x14ac:dyDescent="0.3">
      <c r="A116" t="s">
        <v>17</v>
      </c>
      <c r="B116" s="1" t="s">
        <v>43</v>
      </c>
      <c r="C116" s="1" t="s">
        <v>44</v>
      </c>
      <c r="D116">
        <f>IF(VLOOKUP(B116,'aturan_fuzzy (rule)'!$A$2:$E$28,2,FALSE)="Rendah",VLOOKUP(A116,fuzzifikasi!$A:$M,3,FALSE),IF(VLOOKUP(B116,'aturan_fuzzy (rule)'!$A$2:$E$28,2,FALSE)="Sedang",VLOOKUP(A116,fuzzifikasi!$A:$M,4,FALSE),VLOOKUP(A116,fuzzifikasi!$A:$M,5,FALSE)))</f>
        <v>0.33333333333333331</v>
      </c>
      <c r="E116">
        <f>IF(VLOOKUP(B116,'aturan_fuzzy (rule)'!$A$2:$E$28,3,FALSE)="Rendah",VLOOKUP(A116,fuzzifikasi!$A:$M,7,FALSE),IF(VLOOKUP(B116,'aturan_fuzzy (rule)'!$A$2:$E$28,3,FALSE)="Sedang",VLOOKUP(A116,fuzzifikasi!$A:$M,8,FALSE),VLOOKUP(A116,fuzzifikasi!$A:$M,9,FALSE)))</f>
        <v>0</v>
      </c>
      <c r="F116">
        <f>IF(VLOOKUP(B116,'aturan_fuzzy (rule)'!$A$2:$E$28,4,FALSE)="Rendah",VLOOKUP(A116,fuzzifikasi!$A:$M,11,FALSE),IF(VLOOKUP(B116,'aturan_fuzzy (rule)'!$A$2:$E$28,4,FALSE)="Sedang",VLOOKUP(A116,fuzzifikasi!$A:$M,12,FALSE),VLOOKUP(A116,fuzzifikasi!$A:$M,13,FALSE)))</f>
        <v>0</v>
      </c>
      <c r="G116">
        <f t="shared" si="3"/>
        <v>0</v>
      </c>
      <c r="H116">
        <f t="shared" si="4"/>
        <v>70</v>
      </c>
      <c r="I116">
        <f t="shared" si="5"/>
        <v>0</v>
      </c>
    </row>
    <row r="117" spans="1:9" x14ac:dyDescent="0.3">
      <c r="A117" t="s">
        <v>17</v>
      </c>
      <c r="B117" s="1" t="s">
        <v>45</v>
      </c>
      <c r="C117" s="1" t="s">
        <v>41</v>
      </c>
      <c r="D117">
        <f>IF(VLOOKUP(B117,'aturan_fuzzy (rule)'!$A$2:$E$28,2,FALSE)="Rendah",VLOOKUP(A117,fuzzifikasi!$A:$M,3,FALSE),IF(VLOOKUP(B117,'aturan_fuzzy (rule)'!$A$2:$E$28,2,FALSE)="Sedang",VLOOKUP(A117,fuzzifikasi!$A:$M,4,FALSE),VLOOKUP(A117,fuzzifikasi!$A:$M,5,FALSE)))</f>
        <v>0.33333333333333331</v>
      </c>
      <c r="E117">
        <f>IF(VLOOKUP(B117,'aturan_fuzzy (rule)'!$A$2:$E$28,3,FALSE)="Rendah",VLOOKUP(A117,fuzzifikasi!$A:$M,7,FALSE),IF(VLOOKUP(B117,'aturan_fuzzy (rule)'!$A$2:$E$28,3,FALSE)="Sedang",VLOOKUP(A117,fuzzifikasi!$A:$M,8,FALSE),VLOOKUP(A117,fuzzifikasi!$A:$M,9,FALSE)))</f>
        <v>0.78888999999999998</v>
      </c>
      <c r="F117">
        <f>IF(VLOOKUP(B117,'aturan_fuzzy (rule)'!$A$2:$E$28,4,FALSE)="Rendah",VLOOKUP(A117,fuzzifikasi!$A:$M,11,FALSE),IF(VLOOKUP(B117,'aturan_fuzzy (rule)'!$A$2:$E$28,4,FALSE)="Sedang",VLOOKUP(A117,fuzzifikasi!$A:$M,12,FALSE),VLOOKUP(A117,fuzzifikasi!$A:$M,13,FALSE)))</f>
        <v>0.115</v>
      </c>
      <c r="G117">
        <f t="shared" si="3"/>
        <v>0.115</v>
      </c>
      <c r="H117">
        <f t="shared" si="4"/>
        <v>43.45</v>
      </c>
      <c r="I117">
        <f t="shared" si="5"/>
        <v>4.9967500000000005</v>
      </c>
    </row>
    <row r="118" spans="1:9" x14ac:dyDescent="0.3">
      <c r="A118" t="s">
        <v>17</v>
      </c>
      <c r="B118" s="1" t="s">
        <v>46</v>
      </c>
      <c r="C118" s="1" t="s">
        <v>44</v>
      </c>
      <c r="D118">
        <f>IF(VLOOKUP(B118,'aturan_fuzzy (rule)'!$A$2:$E$28,2,FALSE)="Rendah",VLOOKUP(A118,fuzzifikasi!$A:$M,3,FALSE),IF(VLOOKUP(B118,'aturan_fuzzy (rule)'!$A$2:$E$28,2,FALSE)="Sedang",VLOOKUP(A118,fuzzifikasi!$A:$M,4,FALSE),VLOOKUP(A118,fuzzifikasi!$A:$M,5,FALSE)))</f>
        <v>0.33333333333333331</v>
      </c>
      <c r="E118">
        <f>IF(VLOOKUP(B118,'aturan_fuzzy (rule)'!$A$2:$E$28,3,FALSE)="Rendah",VLOOKUP(A118,fuzzifikasi!$A:$M,7,FALSE),IF(VLOOKUP(B118,'aturan_fuzzy (rule)'!$A$2:$E$28,3,FALSE)="Sedang",VLOOKUP(A118,fuzzifikasi!$A:$M,8,FALSE),VLOOKUP(A118,fuzzifikasi!$A:$M,9,FALSE)))</f>
        <v>0.78888999999999998</v>
      </c>
      <c r="F118">
        <f>IF(VLOOKUP(B118,'aturan_fuzzy (rule)'!$A$2:$E$28,4,FALSE)="Rendah",VLOOKUP(A118,fuzzifikasi!$A:$M,11,FALSE),IF(VLOOKUP(B118,'aturan_fuzzy (rule)'!$A$2:$E$28,4,FALSE)="Sedang",VLOOKUP(A118,fuzzifikasi!$A:$M,12,FALSE),VLOOKUP(A118,fuzzifikasi!$A:$M,13,FALSE)))</f>
        <v>0.85624999999999996</v>
      </c>
      <c r="G118">
        <f t="shared" si="3"/>
        <v>0.33333333333333331</v>
      </c>
      <c r="H118">
        <f t="shared" si="4"/>
        <v>80</v>
      </c>
      <c r="I118">
        <f t="shared" si="5"/>
        <v>26.666666666666664</v>
      </c>
    </row>
    <row r="119" spans="1:9" x14ac:dyDescent="0.3">
      <c r="A119" t="s">
        <v>17</v>
      </c>
      <c r="B119" s="1" t="s">
        <v>47</v>
      </c>
      <c r="C119" s="1" t="s">
        <v>44</v>
      </c>
      <c r="D119">
        <f>IF(VLOOKUP(B119,'aturan_fuzzy (rule)'!$A$2:$E$28,2,FALSE)="Rendah",VLOOKUP(A119,fuzzifikasi!$A:$M,3,FALSE),IF(VLOOKUP(B119,'aturan_fuzzy (rule)'!$A$2:$E$28,2,FALSE)="Sedang",VLOOKUP(A119,fuzzifikasi!$A:$M,4,FALSE),VLOOKUP(A119,fuzzifikasi!$A:$M,5,FALSE)))</f>
        <v>0.33333333333333331</v>
      </c>
      <c r="E119">
        <f>IF(VLOOKUP(B119,'aturan_fuzzy (rule)'!$A$2:$E$28,3,FALSE)="Rendah",VLOOKUP(A119,fuzzifikasi!$A:$M,7,FALSE),IF(VLOOKUP(B119,'aturan_fuzzy (rule)'!$A$2:$E$28,3,FALSE)="Sedang",VLOOKUP(A119,fuzzifikasi!$A:$M,8,FALSE),VLOOKUP(A119,fuzzifikasi!$A:$M,9,FALSE)))</f>
        <v>0.78888999999999998</v>
      </c>
      <c r="F119">
        <f>IF(VLOOKUP(B119,'aturan_fuzzy (rule)'!$A$2:$E$28,4,FALSE)="Rendah",VLOOKUP(A119,fuzzifikasi!$A:$M,11,FALSE),IF(VLOOKUP(B119,'aturan_fuzzy (rule)'!$A$2:$E$28,4,FALSE)="Sedang",VLOOKUP(A119,fuzzifikasi!$A:$M,12,FALSE),VLOOKUP(A119,fuzzifikasi!$A:$M,13,FALSE)))</f>
        <v>0</v>
      </c>
      <c r="G119">
        <f t="shared" si="3"/>
        <v>0</v>
      </c>
      <c r="H119">
        <f t="shared" si="4"/>
        <v>70</v>
      </c>
      <c r="I119">
        <f t="shared" si="5"/>
        <v>0</v>
      </c>
    </row>
    <row r="120" spans="1:9" x14ac:dyDescent="0.3">
      <c r="A120" t="s">
        <v>17</v>
      </c>
      <c r="B120" s="1" t="s">
        <v>48</v>
      </c>
      <c r="C120" s="1" t="s">
        <v>44</v>
      </c>
      <c r="D120">
        <f>IF(VLOOKUP(B120,'aturan_fuzzy (rule)'!$A$2:$E$28,2,FALSE)="Rendah",VLOOKUP(A120,fuzzifikasi!$A:$M,3,FALSE),IF(VLOOKUP(B120,'aturan_fuzzy (rule)'!$A$2:$E$28,2,FALSE)="Sedang",VLOOKUP(A120,fuzzifikasi!$A:$M,4,FALSE),VLOOKUP(A120,fuzzifikasi!$A:$M,5,FALSE)))</f>
        <v>0.33333333333333331</v>
      </c>
      <c r="E120">
        <f>IF(VLOOKUP(B120,'aturan_fuzzy (rule)'!$A$2:$E$28,3,FALSE)="Rendah",VLOOKUP(A120,fuzzifikasi!$A:$M,7,FALSE),IF(VLOOKUP(B120,'aturan_fuzzy (rule)'!$A$2:$E$28,3,FALSE)="Sedang",VLOOKUP(A120,fuzzifikasi!$A:$M,8,FALSE),VLOOKUP(A120,fuzzifikasi!$A:$M,9,FALSE)))</f>
        <v>0</v>
      </c>
      <c r="F120">
        <f>IF(VLOOKUP(B120,'aturan_fuzzy (rule)'!$A$2:$E$28,4,FALSE)="Rendah",VLOOKUP(A120,fuzzifikasi!$A:$M,11,FALSE),IF(VLOOKUP(B120,'aturan_fuzzy (rule)'!$A$2:$E$28,4,FALSE)="Sedang",VLOOKUP(A120,fuzzifikasi!$A:$M,12,FALSE),VLOOKUP(A120,fuzzifikasi!$A:$M,13,FALSE)))</f>
        <v>0.115</v>
      </c>
      <c r="G120">
        <f t="shared" si="3"/>
        <v>0</v>
      </c>
      <c r="H120">
        <f t="shared" si="4"/>
        <v>70</v>
      </c>
      <c r="I120">
        <f t="shared" si="5"/>
        <v>0</v>
      </c>
    </row>
    <row r="121" spans="1:9" x14ac:dyDescent="0.3">
      <c r="A121" t="s">
        <v>17</v>
      </c>
      <c r="B121" s="1" t="s">
        <v>49</v>
      </c>
      <c r="C121" s="1" t="s">
        <v>44</v>
      </c>
      <c r="D121">
        <f>IF(VLOOKUP(B121,'aturan_fuzzy (rule)'!$A$2:$E$28,2,FALSE)="Rendah",VLOOKUP(A121,fuzzifikasi!$A:$M,3,FALSE),IF(VLOOKUP(B121,'aturan_fuzzy (rule)'!$A$2:$E$28,2,FALSE)="Sedang",VLOOKUP(A121,fuzzifikasi!$A:$M,4,FALSE),VLOOKUP(A121,fuzzifikasi!$A:$M,5,FALSE)))</f>
        <v>0.33333333333333331</v>
      </c>
      <c r="E121">
        <f>IF(VLOOKUP(B121,'aturan_fuzzy (rule)'!$A$2:$E$28,3,FALSE)="Rendah",VLOOKUP(A121,fuzzifikasi!$A:$M,7,FALSE),IF(VLOOKUP(B121,'aturan_fuzzy (rule)'!$A$2:$E$28,3,FALSE)="Sedang",VLOOKUP(A121,fuzzifikasi!$A:$M,8,FALSE),VLOOKUP(A121,fuzzifikasi!$A:$M,9,FALSE)))</f>
        <v>0</v>
      </c>
      <c r="F121">
        <f>IF(VLOOKUP(B121,'aturan_fuzzy (rule)'!$A$2:$E$28,4,FALSE)="Rendah",VLOOKUP(A121,fuzzifikasi!$A:$M,11,FALSE),IF(VLOOKUP(B121,'aturan_fuzzy (rule)'!$A$2:$E$28,4,FALSE)="Sedang",VLOOKUP(A121,fuzzifikasi!$A:$M,12,FALSE),VLOOKUP(A121,fuzzifikasi!$A:$M,13,FALSE)))</f>
        <v>0.85624999999999996</v>
      </c>
      <c r="G121">
        <f t="shared" si="3"/>
        <v>0</v>
      </c>
      <c r="H121">
        <f t="shared" si="4"/>
        <v>70</v>
      </c>
      <c r="I121">
        <f t="shared" si="5"/>
        <v>0</v>
      </c>
    </row>
    <row r="122" spans="1:9" x14ac:dyDescent="0.3">
      <c r="A122" t="s">
        <v>17</v>
      </c>
      <c r="B122" s="1" t="s">
        <v>50</v>
      </c>
      <c r="C122" s="1" t="s">
        <v>44</v>
      </c>
      <c r="D122">
        <f>IF(VLOOKUP(B122,'aturan_fuzzy (rule)'!$A$2:$E$28,2,FALSE)="Rendah",VLOOKUP(A122,fuzzifikasi!$A:$M,3,FALSE),IF(VLOOKUP(B122,'aturan_fuzzy (rule)'!$A$2:$E$28,2,FALSE)="Sedang",VLOOKUP(A122,fuzzifikasi!$A:$M,4,FALSE),VLOOKUP(A122,fuzzifikasi!$A:$M,5,FALSE)))</f>
        <v>0.33333333333333331</v>
      </c>
      <c r="E122">
        <f>IF(VLOOKUP(B122,'aturan_fuzzy (rule)'!$A$2:$E$28,3,FALSE)="Rendah",VLOOKUP(A122,fuzzifikasi!$A:$M,7,FALSE),IF(VLOOKUP(B122,'aturan_fuzzy (rule)'!$A$2:$E$28,3,FALSE)="Sedang",VLOOKUP(A122,fuzzifikasi!$A:$M,8,FALSE),VLOOKUP(A122,fuzzifikasi!$A:$M,9,FALSE)))</f>
        <v>0</v>
      </c>
      <c r="F122">
        <f>IF(VLOOKUP(B122,'aturan_fuzzy (rule)'!$A$2:$E$28,4,FALSE)="Rendah",VLOOKUP(A122,fuzzifikasi!$A:$M,11,FALSE),IF(VLOOKUP(B122,'aturan_fuzzy (rule)'!$A$2:$E$28,4,FALSE)="Sedang",VLOOKUP(A122,fuzzifikasi!$A:$M,12,FALSE),VLOOKUP(A122,fuzzifikasi!$A:$M,13,FALSE)))</f>
        <v>0</v>
      </c>
      <c r="G122">
        <f t="shared" si="3"/>
        <v>0</v>
      </c>
      <c r="H122">
        <f t="shared" si="4"/>
        <v>70</v>
      </c>
      <c r="I122">
        <f t="shared" si="5"/>
        <v>0</v>
      </c>
    </row>
    <row r="123" spans="1:9" x14ac:dyDescent="0.3">
      <c r="A123" t="s">
        <v>17</v>
      </c>
      <c r="B123" s="1" t="s">
        <v>51</v>
      </c>
      <c r="C123" s="1" t="s">
        <v>52</v>
      </c>
      <c r="D123">
        <f>IF(VLOOKUP(B123,'aturan_fuzzy (rule)'!$A$2:$E$28,2,FALSE)="Rendah",VLOOKUP(A123,fuzzifikasi!$A:$M,3,FALSE),IF(VLOOKUP(B123,'aturan_fuzzy (rule)'!$A$2:$E$28,2,FALSE)="Sedang",VLOOKUP(A123,fuzzifikasi!$A:$M,4,FALSE),VLOOKUP(A123,fuzzifikasi!$A:$M,5,FALSE)))</f>
        <v>0.66666666666666663</v>
      </c>
      <c r="E123">
        <f>IF(VLOOKUP(B123,'aturan_fuzzy (rule)'!$A$2:$E$28,3,FALSE)="Rendah",VLOOKUP(A123,fuzzifikasi!$A:$M,7,FALSE),IF(VLOOKUP(B123,'aturan_fuzzy (rule)'!$A$2:$E$28,3,FALSE)="Sedang",VLOOKUP(A123,fuzzifikasi!$A:$M,8,FALSE),VLOOKUP(A123,fuzzifikasi!$A:$M,9,FALSE)))</f>
        <v>0</v>
      </c>
      <c r="F123">
        <f>IF(VLOOKUP(B123,'aturan_fuzzy (rule)'!$A$2:$E$28,4,FALSE)="Rendah",VLOOKUP(A123,fuzzifikasi!$A:$M,11,FALSE),IF(VLOOKUP(B123,'aturan_fuzzy (rule)'!$A$2:$E$28,4,FALSE)="Sedang",VLOOKUP(A123,fuzzifikasi!$A:$M,12,FALSE),VLOOKUP(A123,fuzzifikasi!$A:$M,13,FALSE)))</f>
        <v>0.115</v>
      </c>
      <c r="G123">
        <f t="shared" si="3"/>
        <v>0</v>
      </c>
      <c r="H123">
        <f t="shared" si="4"/>
        <v>40</v>
      </c>
      <c r="I123">
        <f t="shared" si="5"/>
        <v>0</v>
      </c>
    </row>
    <row r="124" spans="1:9" x14ac:dyDescent="0.3">
      <c r="A124" t="s">
        <v>17</v>
      </c>
      <c r="B124" s="1" t="s">
        <v>53</v>
      </c>
      <c r="C124" s="1" t="s">
        <v>41</v>
      </c>
      <c r="D124">
        <f>IF(VLOOKUP(B124,'aturan_fuzzy (rule)'!$A$2:$E$28,2,FALSE)="Rendah",VLOOKUP(A124,fuzzifikasi!$A:$M,3,FALSE),IF(VLOOKUP(B124,'aturan_fuzzy (rule)'!$A$2:$E$28,2,FALSE)="Sedang",VLOOKUP(A124,fuzzifikasi!$A:$M,4,FALSE),VLOOKUP(A124,fuzzifikasi!$A:$M,5,FALSE)))</f>
        <v>0.66666666666666663</v>
      </c>
      <c r="E124">
        <f>IF(VLOOKUP(B124,'aturan_fuzzy (rule)'!$A$2:$E$28,3,FALSE)="Rendah",VLOOKUP(A124,fuzzifikasi!$A:$M,7,FALSE),IF(VLOOKUP(B124,'aturan_fuzzy (rule)'!$A$2:$E$28,3,FALSE)="Sedang",VLOOKUP(A124,fuzzifikasi!$A:$M,8,FALSE),VLOOKUP(A124,fuzzifikasi!$A:$M,9,FALSE)))</f>
        <v>0</v>
      </c>
      <c r="F124">
        <f>IF(VLOOKUP(B124,'aturan_fuzzy (rule)'!$A$2:$E$28,4,FALSE)="Rendah",VLOOKUP(A124,fuzzifikasi!$A:$M,11,FALSE),IF(VLOOKUP(B124,'aturan_fuzzy (rule)'!$A$2:$E$28,4,FALSE)="Sedang",VLOOKUP(A124,fuzzifikasi!$A:$M,12,FALSE),VLOOKUP(A124,fuzzifikasi!$A:$M,13,FALSE)))</f>
        <v>0.85624999999999996</v>
      </c>
      <c r="G124">
        <f t="shared" si="3"/>
        <v>0</v>
      </c>
      <c r="H124">
        <f t="shared" si="4"/>
        <v>40</v>
      </c>
      <c r="I124">
        <f t="shared" si="5"/>
        <v>0</v>
      </c>
    </row>
    <row r="125" spans="1:9" x14ac:dyDescent="0.3">
      <c r="A125" t="s">
        <v>17</v>
      </c>
      <c r="B125" s="1" t="s">
        <v>54</v>
      </c>
      <c r="C125" s="1" t="s">
        <v>41</v>
      </c>
      <c r="D125">
        <f>IF(VLOOKUP(B125,'aturan_fuzzy (rule)'!$A$2:$E$28,2,FALSE)="Rendah",VLOOKUP(A125,fuzzifikasi!$A:$M,3,FALSE),IF(VLOOKUP(B125,'aturan_fuzzy (rule)'!$A$2:$E$28,2,FALSE)="Sedang",VLOOKUP(A125,fuzzifikasi!$A:$M,4,FALSE),VLOOKUP(A125,fuzzifikasi!$A:$M,5,FALSE)))</f>
        <v>0.66666666666666663</v>
      </c>
      <c r="E125">
        <f>IF(VLOOKUP(B125,'aturan_fuzzy (rule)'!$A$2:$E$28,3,FALSE)="Rendah",VLOOKUP(A125,fuzzifikasi!$A:$M,7,FALSE),IF(VLOOKUP(B125,'aturan_fuzzy (rule)'!$A$2:$E$28,3,FALSE)="Sedang",VLOOKUP(A125,fuzzifikasi!$A:$M,8,FALSE),VLOOKUP(A125,fuzzifikasi!$A:$M,9,FALSE)))</f>
        <v>0</v>
      </c>
      <c r="F125">
        <f>IF(VLOOKUP(B125,'aturan_fuzzy (rule)'!$A$2:$E$28,4,FALSE)="Rendah",VLOOKUP(A125,fuzzifikasi!$A:$M,11,FALSE),IF(VLOOKUP(B125,'aturan_fuzzy (rule)'!$A$2:$E$28,4,FALSE)="Sedang",VLOOKUP(A125,fuzzifikasi!$A:$M,12,FALSE),VLOOKUP(A125,fuzzifikasi!$A:$M,13,FALSE)))</f>
        <v>0</v>
      </c>
      <c r="G125">
        <f t="shared" si="3"/>
        <v>0</v>
      </c>
      <c r="H125">
        <f t="shared" si="4"/>
        <v>40</v>
      </c>
      <c r="I125">
        <f t="shared" si="5"/>
        <v>0</v>
      </c>
    </row>
    <row r="126" spans="1:9" x14ac:dyDescent="0.3">
      <c r="A126" t="s">
        <v>17</v>
      </c>
      <c r="B126" s="1" t="s">
        <v>55</v>
      </c>
      <c r="C126" s="1" t="s">
        <v>41</v>
      </c>
      <c r="D126">
        <f>IF(VLOOKUP(B126,'aturan_fuzzy (rule)'!$A$2:$E$28,2,FALSE)="Rendah",VLOOKUP(A126,fuzzifikasi!$A:$M,3,FALSE),IF(VLOOKUP(B126,'aturan_fuzzy (rule)'!$A$2:$E$28,2,FALSE)="Sedang",VLOOKUP(A126,fuzzifikasi!$A:$M,4,FALSE),VLOOKUP(A126,fuzzifikasi!$A:$M,5,FALSE)))</f>
        <v>0.66666666666666663</v>
      </c>
      <c r="E126">
        <f>IF(VLOOKUP(B126,'aturan_fuzzy (rule)'!$A$2:$E$28,3,FALSE)="Rendah",VLOOKUP(A126,fuzzifikasi!$A:$M,7,FALSE),IF(VLOOKUP(B126,'aturan_fuzzy (rule)'!$A$2:$E$28,3,FALSE)="Sedang",VLOOKUP(A126,fuzzifikasi!$A:$M,8,FALSE),VLOOKUP(A126,fuzzifikasi!$A:$M,9,FALSE)))</f>
        <v>0.78888999999999998</v>
      </c>
      <c r="F126">
        <f>IF(VLOOKUP(B126,'aturan_fuzzy (rule)'!$A$2:$E$28,4,FALSE)="Rendah",VLOOKUP(A126,fuzzifikasi!$A:$M,11,FALSE),IF(VLOOKUP(B126,'aturan_fuzzy (rule)'!$A$2:$E$28,4,FALSE)="Sedang",VLOOKUP(A126,fuzzifikasi!$A:$M,12,FALSE),VLOOKUP(A126,fuzzifikasi!$A:$M,13,FALSE)))</f>
        <v>0.115</v>
      </c>
      <c r="G126">
        <f t="shared" si="3"/>
        <v>0.115</v>
      </c>
      <c r="H126">
        <f t="shared" si="4"/>
        <v>43.45</v>
      </c>
      <c r="I126">
        <f t="shared" si="5"/>
        <v>4.9967500000000005</v>
      </c>
    </row>
    <row r="127" spans="1:9" x14ac:dyDescent="0.3">
      <c r="A127" t="s">
        <v>17</v>
      </c>
      <c r="B127" s="1" t="s">
        <v>56</v>
      </c>
      <c r="C127" s="1" t="s">
        <v>41</v>
      </c>
      <c r="D127">
        <f>IF(VLOOKUP(B127,'aturan_fuzzy (rule)'!$A$2:$E$28,2,FALSE)="Rendah",VLOOKUP(A127,fuzzifikasi!$A:$M,3,FALSE),IF(VLOOKUP(B127,'aturan_fuzzy (rule)'!$A$2:$E$28,2,FALSE)="Sedang",VLOOKUP(A127,fuzzifikasi!$A:$M,4,FALSE),VLOOKUP(A127,fuzzifikasi!$A:$M,5,FALSE)))</f>
        <v>0.66666666666666663</v>
      </c>
      <c r="E127">
        <f>IF(VLOOKUP(B127,'aturan_fuzzy (rule)'!$A$2:$E$28,3,FALSE)="Rendah",VLOOKUP(A127,fuzzifikasi!$A:$M,7,FALSE),IF(VLOOKUP(B127,'aturan_fuzzy (rule)'!$A$2:$E$28,3,FALSE)="Sedang",VLOOKUP(A127,fuzzifikasi!$A:$M,8,FALSE),VLOOKUP(A127,fuzzifikasi!$A:$M,9,FALSE)))</f>
        <v>0.78888999999999998</v>
      </c>
      <c r="F127">
        <f>IF(VLOOKUP(B127,'aturan_fuzzy (rule)'!$A$2:$E$28,4,FALSE)="Rendah",VLOOKUP(A127,fuzzifikasi!$A:$M,11,FALSE),IF(VLOOKUP(B127,'aturan_fuzzy (rule)'!$A$2:$E$28,4,FALSE)="Sedang",VLOOKUP(A127,fuzzifikasi!$A:$M,12,FALSE),VLOOKUP(A127,fuzzifikasi!$A:$M,13,FALSE)))</f>
        <v>0.85624999999999996</v>
      </c>
      <c r="G127">
        <f t="shared" si="3"/>
        <v>0.66666666666666663</v>
      </c>
      <c r="H127">
        <f t="shared" si="4"/>
        <v>60</v>
      </c>
      <c r="I127">
        <f t="shared" si="5"/>
        <v>40</v>
      </c>
    </row>
    <row r="128" spans="1:9" x14ac:dyDescent="0.3">
      <c r="A128" t="s">
        <v>17</v>
      </c>
      <c r="B128" s="1" t="s">
        <v>57</v>
      </c>
      <c r="C128" s="1" t="s">
        <v>44</v>
      </c>
      <c r="D128">
        <f>IF(VLOOKUP(B128,'aturan_fuzzy (rule)'!$A$2:$E$28,2,FALSE)="Rendah",VLOOKUP(A128,fuzzifikasi!$A:$M,3,FALSE),IF(VLOOKUP(B128,'aturan_fuzzy (rule)'!$A$2:$E$28,2,FALSE)="Sedang",VLOOKUP(A128,fuzzifikasi!$A:$M,4,FALSE),VLOOKUP(A128,fuzzifikasi!$A:$M,5,FALSE)))</f>
        <v>0.66666666666666663</v>
      </c>
      <c r="E128">
        <f>IF(VLOOKUP(B128,'aturan_fuzzy (rule)'!$A$2:$E$28,3,FALSE)="Rendah",VLOOKUP(A128,fuzzifikasi!$A:$M,7,FALSE),IF(VLOOKUP(B128,'aturan_fuzzy (rule)'!$A$2:$E$28,3,FALSE)="Sedang",VLOOKUP(A128,fuzzifikasi!$A:$M,8,FALSE),VLOOKUP(A128,fuzzifikasi!$A:$M,9,FALSE)))</f>
        <v>0.78888999999999998</v>
      </c>
      <c r="F128">
        <f>IF(VLOOKUP(B128,'aturan_fuzzy (rule)'!$A$2:$E$28,4,FALSE)="Rendah",VLOOKUP(A128,fuzzifikasi!$A:$M,11,FALSE),IF(VLOOKUP(B128,'aturan_fuzzy (rule)'!$A$2:$E$28,4,FALSE)="Sedang",VLOOKUP(A128,fuzzifikasi!$A:$M,12,FALSE),VLOOKUP(A128,fuzzifikasi!$A:$M,13,FALSE)))</f>
        <v>0</v>
      </c>
      <c r="G128">
        <f t="shared" si="3"/>
        <v>0</v>
      </c>
      <c r="H128">
        <f t="shared" si="4"/>
        <v>70</v>
      </c>
      <c r="I128">
        <f t="shared" si="5"/>
        <v>0</v>
      </c>
    </row>
    <row r="129" spans="1:9" x14ac:dyDescent="0.3">
      <c r="A129" t="s">
        <v>17</v>
      </c>
      <c r="B129" s="1" t="s">
        <v>58</v>
      </c>
      <c r="C129" s="1" t="s">
        <v>41</v>
      </c>
      <c r="D129">
        <f>IF(VLOOKUP(B129,'aturan_fuzzy (rule)'!$A$2:$E$28,2,FALSE)="Rendah",VLOOKUP(A129,fuzzifikasi!$A:$M,3,FALSE),IF(VLOOKUP(B129,'aturan_fuzzy (rule)'!$A$2:$E$28,2,FALSE)="Sedang",VLOOKUP(A129,fuzzifikasi!$A:$M,4,FALSE),VLOOKUP(A129,fuzzifikasi!$A:$M,5,FALSE)))</f>
        <v>0.66666666666666663</v>
      </c>
      <c r="E129">
        <f>IF(VLOOKUP(B129,'aturan_fuzzy (rule)'!$A$2:$E$28,3,FALSE)="Rendah",VLOOKUP(A129,fuzzifikasi!$A:$M,7,FALSE),IF(VLOOKUP(B129,'aturan_fuzzy (rule)'!$A$2:$E$28,3,FALSE)="Sedang",VLOOKUP(A129,fuzzifikasi!$A:$M,8,FALSE),VLOOKUP(A129,fuzzifikasi!$A:$M,9,FALSE)))</f>
        <v>0</v>
      </c>
      <c r="F129">
        <f>IF(VLOOKUP(B129,'aturan_fuzzy (rule)'!$A$2:$E$28,4,FALSE)="Rendah",VLOOKUP(A129,fuzzifikasi!$A:$M,11,FALSE),IF(VLOOKUP(B129,'aturan_fuzzy (rule)'!$A$2:$E$28,4,FALSE)="Sedang",VLOOKUP(A129,fuzzifikasi!$A:$M,12,FALSE),VLOOKUP(A129,fuzzifikasi!$A:$M,13,FALSE)))</f>
        <v>0.115</v>
      </c>
      <c r="G129">
        <f t="shared" si="3"/>
        <v>0</v>
      </c>
      <c r="H129">
        <f t="shared" si="4"/>
        <v>40</v>
      </c>
      <c r="I129">
        <f t="shared" si="5"/>
        <v>0</v>
      </c>
    </row>
    <row r="130" spans="1:9" x14ac:dyDescent="0.3">
      <c r="A130" t="s">
        <v>17</v>
      </c>
      <c r="B130" s="1" t="s">
        <v>59</v>
      </c>
      <c r="C130" s="1" t="s">
        <v>44</v>
      </c>
      <c r="D130">
        <f>IF(VLOOKUP(B130,'aturan_fuzzy (rule)'!$A$2:$E$28,2,FALSE)="Rendah",VLOOKUP(A130,fuzzifikasi!$A:$M,3,FALSE),IF(VLOOKUP(B130,'aturan_fuzzy (rule)'!$A$2:$E$28,2,FALSE)="Sedang",VLOOKUP(A130,fuzzifikasi!$A:$M,4,FALSE),VLOOKUP(A130,fuzzifikasi!$A:$M,5,FALSE)))</f>
        <v>0.66666666666666663</v>
      </c>
      <c r="E130">
        <f>IF(VLOOKUP(B130,'aturan_fuzzy (rule)'!$A$2:$E$28,3,FALSE)="Rendah",VLOOKUP(A130,fuzzifikasi!$A:$M,7,FALSE),IF(VLOOKUP(B130,'aturan_fuzzy (rule)'!$A$2:$E$28,3,FALSE)="Sedang",VLOOKUP(A130,fuzzifikasi!$A:$M,8,FALSE),VLOOKUP(A130,fuzzifikasi!$A:$M,9,FALSE)))</f>
        <v>0</v>
      </c>
      <c r="F130">
        <f>IF(VLOOKUP(B130,'aturan_fuzzy (rule)'!$A$2:$E$28,4,FALSE)="Rendah",VLOOKUP(A130,fuzzifikasi!$A:$M,11,FALSE),IF(VLOOKUP(B130,'aturan_fuzzy (rule)'!$A$2:$E$28,4,FALSE)="Sedang",VLOOKUP(A130,fuzzifikasi!$A:$M,12,FALSE),VLOOKUP(A130,fuzzifikasi!$A:$M,13,FALSE)))</f>
        <v>0.85624999999999996</v>
      </c>
      <c r="G130">
        <f t="shared" si="3"/>
        <v>0</v>
      </c>
      <c r="H130">
        <f t="shared" si="4"/>
        <v>70</v>
      </c>
      <c r="I130">
        <f t="shared" si="5"/>
        <v>0</v>
      </c>
    </row>
    <row r="131" spans="1:9" x14ac:dyDescent="0.3">
      <c r="A131" t="s">
        <v>17</v>
      </c>
      <c r="B131" s="1" t="s">
        <v>60</v>
      </c>
      <c r="C131" s="1" t="s">
        <v>44</v>
      </c>
      <c r="D131">
        <f>IF(VLOOKUP(B131,'aturan_fuzzy (rule)'!$A$2:$E$28,2,FALSE)="Rendah",VLOOKUP(A131,fuzzifikasi!$A:$M,3,FALSE),IF(VLOOKUP(B131,'aturan_fuzzy (rule)'!$A$2:$E$28,2,FALSE)="Sedang",VLOOKUP(A131,fuzzifikasi!$A:$M,4,FALSE),VLOOKUP(A131,fuzzifikasi!$A:$M,5,FALSE)))</f>
        <v>0.66666666666666663</v>
      </c>
      <c r="E131">
        <f>IF(VLOOKUP(B131,'aturan_fuzzy (rule)'!$A$2:$E$28,3,FALSE)="Rendah",VLOOKUP(A131,fuzzifikasi!$A:$M,7,FALSE),IF(VLOOKUP(B131,'aturan_fuzzy (rule)'!$A$2:$E$28,3,FALSE)="Sedang",VLOOKUP(A131,fuzzifikasi!$A:$M,8,FALSE),VLOOKUP(A131,fuzzifikasi!$A:$M,9,FALSE)))</f>
        <v>0</v>
      </c>
      <c r="F131">
        <f>IF(VLOOKUP(B131,'aturan_fuzzy (rule)'!$A$2:$E$28,4,FALSE)="Rendah",VLOOKUP(A131,fuzzifikasi!$A:$M,11,FALSE),IF(VLOOKUP(B131,'aturan_fuzzy (rule)'!$A$2:$E$28,4,FALSE)="Sedang",VLOOKUP(A131,fuzzifikasi!$A:$M,12,FALSE),VLOOKUP(A131,fuzzifikasi!$A:$M,13,FALSE)))</f>
        <v>0</v>
      </c>
      <c r="G131">
        <f t="shared" ref="G131:G168" si="6">MIN(D131, E131, F131)</f>
        <v>0</v>
      </c>
      <c r="H131">
        <f t="shared" ref="H131:H168" si="7">IF(C131="Low_Risk", 70+(G131*30), IF(C131="Medium_Risk", 40+(G131*30), 40-(G131*40)))</f>
        <v>70</v>
      </c>
      <c r="I131">
        <f t="shared" ref="I131:I168" si="8">G131*H131</f>
        <v>0</v>
      </c>
    </row>
    <row r="132" spans="1:9" x14ac:dyDescent="0.3">
      <c r="A132" t="s">
        <v>17</v>
      </c>
      <c r="B132" s="1" t="s">
        <v>61</v>
      </c>
      <c r="C132" s="1" t="s">
        <v>52</v>
      </c>
      <c r="D132">
        <f>IF(VLOOKUP(B132,'aturan_fuzzy (rule)'!$A$2:$E$28,2,FALSE)="Rendah",VLOOKUP(A132,fuzzifikasi!$A:$M,3,FALSE),IF(VLOOKUP(B132,'aturan_fuzzy (rule)'!$A$2:$E$28,2,FALSE)="Sedang",VLOOKUP(A132,fuzzifikasi!$A:$M,4,FALSE),VLOOKUP(A132,fuzzifikasi!$A:$M,5,FALSE)))</f>
        <v>0</v>
      </c>
      <c r="E132">
        <f>IF(VLOOKUP(B132,'aturan_fuzzy (rule)'!$A$2:$E$28,3,FALSE)="Rendah",VLOOKUP(A132,fuzzifikasi!$A:$M,7,FALSE),IF(VLOOKUP(B132,'aturan_fuzzy (rule)'!$A$2:$E$28,3,FALSE)="Sedang",VLOOKUP(A132,fuzzifikasi!$A:$M,8,FALSE),VLOOKUP(A132,fuzzifikasi!$A:$M,9,FALSE)))</f>
        <v>0</v>
      </c>
      <c r="F132">
        <f>IF(VLOOKUP(B132,'aturan_fuzzy (rule)'!$A$2:$E$28,4,FALSE)="Rendah",VLOOKUP(A132,fuzzifikasi!$A:$M,11,FALSE),IF(VLOOKUP(B132,'aturan_fuzzy (rule)'!$A$2:$E$28,4,FALSE)="Sedang",VLOOKUP(A132,fuzzifikasi!$A:$M,12,FALSE),VLOOKUP(A132,fuzzifikasi!$A:$M,13,FALSE)))</f>
        <v>0.115</v>
      </c>
      <c r="G132">
        <f t="shared" si="6"/>
        <v>0</v>
      </c>
      <c r="H132">
        <f t="shared" si="7"/>
        <v>40</v>
      </c>
      <c r="I132">
        <f t="shared" si="8"/>
        <v>0</v>
      </c>
    </row>
    <row r="133" spans="1:9" x14ac:dyDescent="0.3">
      <c r="A133" t="s">
        <v>17</v>
      </c>
      <c r="B133" s="1" t="s">
        <v>62</v>
      </c>
      <c r="C133" s="1" t="s">
        <v>52</v>
      </c>
      <c r="D133">
        <f>IF(VLOOKUP(B133,'aturan_fuzzy (rule)'!$A$2:$E$28,2,FALSE)="Rendah",VLOOKUP(A133,fuzzifikasi!$A:$M,3,FALSE),IF(VLOOKUP(B133,'aturan_fuzzy (rule)'!$A$2:$E$28,2,FALSE)="Sedang",VLOOKUP(A133,fuzzifikasi!$A:$M,4,FALSE),VLOOKUP(A133,fuzzifikasi!$A:$M,5,FALSE)))</f>
        <v>0</v>
      </c>
      <c r="E133">
        <f>IF(VLOOKUP(B133,'aturan_fuzzy (rule)'!$A$2:$E$28,3,FALSE)="Rendah",VLOOKUP(A133,fuzzifikasi!$A:$M,7,FALSE),IF(VLOOKUP(B133,'aturan_fuzzy (rule)'!$A$2:$E$28,3,FALSE)="Sedang",VLOOKUP(A133,fuzzifikasi!$A:$M,8,FALSE),VLOOKUP(A133,fuzzifikasi!$A:$M,9,FALSE)))</f>
        <v>0</v>
      </c>
      <c r="F133">
        <f>IF(VLOOKUP(B133,'aturan_fuzzy (rule)'!$A$2:$E$28,4,FALSE)="Rendah",VLOOKUP(A133,fuzzifikasi!$A:$M,11,FALSE),IF(VLOOKUP(B133,'aturan_fuzzy (rule)'!$A$2:$E$28,4,FALSE)="Sedang",VLOOKUP(A133,fuzzifikasi!$A:$M,12,FALSE),VLOOKUP(A133,fuzzifikasi!$A:$M,13,FALSE)))</f>
        <v>0.85624999999999996</v>
      </c>
      <c r="G133">
        <f t="shared" si="6"/>
        <v>0</v>
      </c>
      <c r="H133">
        <f t="shared" si="7"/>
        <v>40</v>
      </c>
      <c r="I133">
        <f t="shared" si="8"/>
        <v>0</v>
      </c>
    </row>
    <row r="134" spans="1:9" x14ac:dyDescent="0.3">
      <c r="A134" t="s">
        <v>17</v>
      </c>
      <c r="B134" s="1" t="s">
        <v>63</v>
      </c>
      <c r="C134" s="1" t="s">
        <v>41</v>
      </c>
      <c r="D134">
        <f>IF(VLOOKUP(B134,'aturan_fuzzy (rule)'!$A$2:$E$28,2,FALSE)="Rendah",VLOOKUP(A134,fuzzifikasi!$A:$M,3,FALSE),IF(VLOOKUP(B134,'aturan_fuzzy (rule)'!$A$2:$E$28,2,FALSE)="Sedang",VLOOKUP(A134,fuzzifikasi!$A:$M,4,FALSE),VLOOKUP(A134,fuzzifikasi!$A:$M,5,FALSE)))</f>
        <v>0</v>
      </c>
      <c r="E134">
        <f>IF(VLOOKUP(B134,'aturan_fuzzy (rule)'!$A$2:$E$28,3,FALSE)="Rendah",VLOOKUP(A134,fuzzifikasi!$A:$M,7,FALSE),IF(VLOOKUP(B134,'aturan_fuzzy (rule)'!$A$2:$E$28,3,FALSE)="Sedang",VLOOKUP(A134,fuzzifikasi!$A:$M,8,FALSE),VLOOKUP(A134,fuzzifikasi!$A:$M,9,FALSE)))</f>
        <v>0</v>
      </c>
      <c r="F134">
        <f>IF(VLOOKUP(B134,'aturan_fuzzy (rule)'!$A$2:$E$28,4,FALSE)="Rendah",VLOOKUP(A134,fuzzifikasi!$A:$M,11,FALSE),IF(VLOOKUP(B134,'aturan_fuzzy (rule)'!$A$2:$E$28,4,FALSE)="Sedang",VLOOKUP(A134,fuzzifikasi!$A:$M,12,FALSE),VLOOKUP(A134,fuzzifikasi!$A:$M,13,FALSE)))</f>
        <v>0</v>
      </c>
      <c r="G134">
        <f t="shared" si="6"/>
        <v>0</v>
      </c>
      <c r="H134">
        <f t="shared" si="7"/>
        <v>40</v>
      </c>
      <c r="I134">
        <f t="shared" si="8"/>
        <v>0</v>
      </c>
    </row>
    <row r="135" spans="1:9" x14ac:dyDescent="0.3">
      <c r="A135" t="s">
        <v>17</v>
      </c>
      <c r="B135" s="1" t="s">
        <v>64</v>
      </c>
      <c r="C135" s="1" t="s">
        <v>52</v>
      </c>
      <c r="D135">
        <f>IF(VLOOKUP(B135,'aturan_fuzzy (rule)'!$A$2:$E$28,2,FALSE)="Rendah",VLOOKUP(A135,fuzzifikasi!$A:$M,3,FALSE),IF(VLOOKUP(B135,'aturan_fuzzy (rule)'!$A$2:$E$28,2,FALSE)="Sedang",VLOOKUP(A135,fuzzifikasi!$A:$M,4,FALSE),VLOOKUP(A135,fuzzifikasi!$A:$M,5,FALSE)))</f>
        <v>0</v>
      </c>
      <c r="E135">
        <f>IF(VLOOKUP(B135,'aturan_fuzzy (rule)'!$A$2:$E$28,3,FALSE)="Rendah",VLOOKUP(A135,fuzzifikasi!$A:$M,7,FALSE),IF(VLOOKUP(B135,'aturan_fuzzy (rule)'!$A$2:$E$28,3,FALSE)="Sedang",VLOOKUP(A135,fuzzifikasi!$A:$M,8,FALSE),VLOOKUP(A135,fuzzifikasi!$A:$M,9,FALSE)))</f>
        <v>0.78888999999999998</v>
      </c>
      <c r="F135">
        <f>IF(VLOOKUP(B135,'aturan_fuzzy (rule)'!$A$2:$E$28,4,FALSE)="Rendah",VLOOKUP(A135,fuzzifikasi!$A:$M,11,FALSE),IF(VLOOKUP(B135,'aturan_fuzzy (rule)'!$A$2:$E$28,4,FALSE)="Sedang",VLOOKUP(A135,fuzzifikasi!$A:$M,12,FALSE),VLOOKUP(A135,fuzzifikasi!$A:$M,13,FALSE)))</f>
        <v>0.115</v>
      </c>
      <c r="G135">
        <f t="shared" si="6"/>
        <v>0</v>
      </c>
      <c r="H135">
        <f t="shared" si="7"/>
        <v>40</v>
      </c>
      <c r="I135">
        <f t="shared" si="8"/>
        <v>0</v>
      </c>
    </row>
    <row r="136" spans="1:9" x14ac:dyDescent="0.3">
      <c r="A136" t="s">
        <v>17</v>
      </c>
      <c r="B136" s="1" t="s">
        <v>65</v>
      </c>
      <c r="C136" s="1" t="s">
        <v>41</v>
      </c>
      <c r="D136">
        <f>IF(VLOOKUP(B136,'aturan_fuzzy (rule)'!$A$2:$E$28,2,FALSE)="Rendah",VLOOKUP(A136,fuzzifikasi!$A:$M,3,FALSE),IF(VLOOKUP(B136,'aturan_fuzzy (rule)'!$A$2:$E$28,2,FALSE)="Sedang",VLOOKUP(A136,fuzzifikasi!$A:$M,4,FALSE),VLOOKUP(A136,fuzzifikasi!$A:$M,5,FALSE)))</f>
        <v>0</v>
      </c>
      <c r="E136">
        <f>IF(VLOOKUP(B136,'aturan_fuzzy (rule)'!$A$2:$E$28,3,FALSE)="Rendah",VLOOKUP(A136,fuzzifikasi!$A:$M,7,FALSE),IF(VLOOKUP(B136,'aturan_fuzzy (rule)'!$A$2:$E$28,3,FALSE)="Sedang",VLOOKUP(A136,fuzzifikasi!$A:$M,8,FALSE),VLOOKUP(A136,fuzzifikasi!$A:$M,9,FALSE)))</f>
        <v>0.78888999999999998</v>
      </c>
      <c r="F136">
        <f>IF(VLOOKUP(B136,'aturan_fuzzy (rule)'!$A$2:$E$28,4,FALSE)="Rendah",VLOOKUP(A136,fuzzifikasi!$A:$M,11,FALSE),IF(VLOOKUP(B136,'aturan_fuzzy (rule)'!$A$2:$E$28,4,FALSE)="Sedang",VLOOKUP(A136,fuzzifikasi!$A:$M,12,FALSE),VLOOKUP(A136,fuzzifikasi!$A:$M,13,FALSE)))</f>
        <v>0.85624999999999996</v>
      </c>
      <c r="G136">
        <f t="shared" si="6"/>
        <v>0</v>
      </c>
      <c r="H136">
        <f t="shared" si="7"/>
        <v>40</v>
      </c>
      <c r="I136">
        <f t="shared" si="8"/>
        <v>0</v>
      </c>
    </row>
    <row r="137" spans="1:9" x14ac:dyDescent="0.3">
      <c r="A137" t="s">
        <v>17</v>
      </c>
      <c r="B137" s="1" t="s">
        <v>66</v>
      </c>
      <c r="C137" s="1" t="s">
        <v>41</v>
      </c>
      <c r="D137">
        <f>IF(VLOOKUP(B137,'aturan_fuzzy (rule)'!$A$2:$E$28,2,FALSE)="Rendah",VLOOKUP(A137,fuzzifikasi!$A:$M,3,FALSE),IF(VLOOKUP(B137,'aturan_fuzzy (rule)'!$A$2:$E$28,2,FALSE)="Sedang",VLOOKUP(A137,fuzzifikasi!$A:$M,4,FALSE),VLOOKUP(A137,fuzzifikasi!$A:$M,5,FALSE)))</f>
        <v>0</v>
      </c>
      <c r="E137">
        <f>IF(VLOOKUP(B137,'aturan_fuzzy (rule)'!$A$2:$E$28,3,FALSE)="Rendah",VLOOKUP(A137,fuzzifikasi!$A:$M,7,FALSE),IF(VLOOKUP(B137,'aturan_fuzzy (rule)'!$A$2:$E$28,3,FALSE)="Sedang",VLOOKUP(A137,fuzzifikasi!$A:$M,8,FALSE),VLOOKUP(A137,fuzzifikasi!$A:$M,9,FALSE)))</f>
        <v>0.78888999999999998</v>
      </c>
      <c r="F137">
        <f>IF(VLOOKUP(B137,'aturan_fuzzy (rule)'!$A$2:$E$28,4,FALSE)="Rendah",VLOOKUP(A137,fuzzifikasi!$A:$M,11,FALSE),IF(VLOOKUP(B137,'aturan_fuzzy (rule)'!$A$2:$E$28,4,FALSE)="Sedang",VLOOKUP(A137,fuzzifikasi!$A:$M,12,FALSE),VLOOKUP(A137,fuzzifikasi!$A:$M,13,FALSE)))</f>
        <v>0</v>
      </c>
      <c r="G137">
        <f t="shared" si="6"/>
        <v>0</v>
      </c>
      <c r="H137">
        <f t="shared" si="7"/>
        <v>40</v>
      </c>
      <c r="I137">
        <f t="shared" si="8"/>
        <v>0</v>
      </c>
    </row>
    <row r="138" spans="1:9" x14ac:dyDescent="0.3">
      <c r="A138" t="s">
        <v>17</v>
      </c>
      <c r="B138" s="1" t="s">
        <v>67</v>
      </c>
      <c r="C138" s="1" t="s">
        <v>41</v>
      </c>
      <c r="D138">
        <f>IF(VLOOKUP(B138,'aturan_fuzzy (rule)'!$A$2:$E$28,2,FALSE)="Rendah",VLOOKUP(A138,fuzzifikasi!$A:$M,3,FALSE),IF(VLOOKUP(B138,'aturan_fuzzy (rule)'!$A$2:$E$28,2,FALSE)="Sedang",VLOOKUP(A138,fuzzifikasi!$A:$M,4,FALSE),VLOOKUP(A138,fuzzifikasi!$A:$M,5,FALSE)))</f>
        <v>0</v>
      </c>
      <c r="E138">
        <f>IF(VLOOKUP(B138,'aturan_fuzzy (rule)'!$A$2:$E$28,3,FALSE)="Rendah",VLOOKUP(A138,fuzzifikasi!$A:$M,7,FALSE),IF(VLOOKUP(B138,'aturan_fuzzy (rule)'!$A$2:$E$28,3,FALSE)="Sedang",VLOOKUP(A138,fuzzifikasi!$A:$M,8,FALSE),VLOOKUP(A138,fuzzifikasi!$A:$M,9,FALSE)))</f>
        <v>0</v>
      </c>
      <c r="F138">
        <f>IF(VLOOKUP(B138,'aturan_fuzzy (rule)'!$A$2:$E$28,4,FALSE)="Rendah",VLOOKUP(A138,fuzzifikasi!$A:$M,11,FALSE),IF(VLOOKUP(B138,'aturan_fuzzy (rule)'!$A$2:$E$28,4,FALSE)="Sedang",VLOOKUP(A138,fuzzifikasi!$A:$M,12,FALSE),VLOOKUP(A138,fuzzifikasi!$A:$M,13,FALSE)))</f>
        <v>0.115</v>
      </c>
      <c r="G138">
        <f t="shared" si="6"/>
        <v>0</v>
      </c>
      <c r="H138">
        <f t="shared" si="7"/>
        <v>40</v>
      </c>
      <c r="I138">
        <f t="shared" si="8"/>
        <v>0</v>
      </c>
    </row>
    <row r="139" spans="1:9" x14ac:dyDescent="0.3">
      <c r="A139" t="s">
        <v>17</v>
      </c>
      <c r="B139" s="1" t="s">
        <v>68</v>
      </c>
      <c r="C139" s="1" t="s">
        <v>41</v>
      </c>
      <c r="D139">
        <f>IF(VLOOKUP(B139,'aturan_fuzzy (rule)'!$A$2:$E$28,2,FALSE)="Rendah",VLOOKUP(A139,fuzzifikasi!$A:$M,3,FALSE),IF(VLOOKUP(B139,'aturan_fuzzy (rule)'!$A$2:$E$28,2,FALSE)="Sedang",VLOOKUP(A139,fuzzifikasi!$A:$M,4,FALSE),VLOOKUP(A139,fuzzifikasi!$A:$M,5,FALSE)))</f>
        <v>0</v>
      </c>
      <c r="E139">
        <f>IF(VLOOKUP(B139,'aturan_fuzzy (rule)'!$A$2:$E$28,3,FALSE)="Rendah",VLOOKUP(A139,fuzzifikasi!$A:$M,7,FALSE),IF(VLOOKUP(B139,'aturan_fuzzy (rule)'!$A$2:$E$28,3,FALSE)="Sedang",VLOOKUP(A139,fuzzifikasi!$A:$M,8,FALSE),VLOOKUP(A139,fuzzifikasi!$A:$M,9,FALSE)))</f>
        <v>0</v>
      </c>
      <c r="F139">
        <f>IF(VLOOKUP(B139,'aturan_fuzzy (rule)'!$A$2:$E$28,4,FALSE)="Rendah",VLOOKUP(A139,fuzzifikasi!$A:$M,11,FALSE),IF(VLOOKUP(B139,'aturan_fuzzy (rule)'!$A$2:$E$28,4,FALSE)="Sedang",VLOOKUP(A139,fuzzifikasi!$A:$M,12,FALSE),VLOOKUP(A139,fuzzifikasi!$A:$M,13,FALSE)))</f>
        <v>0.85624999999999996</v>
      </c>
      <c r="G139">
        <f t="shared" si="6"/>
        <v>0</v>
      </c>
      <c r="H139">
        <f t="shared" si="7"/>
        <v>40</v>
      </c>
      <c r="I139">
        <f t="shared" si="8"/>
        <v>0</v>
      </c>
    </row>
    <row r="140" spans="1:9" x14ac:dyDescent="0.3">
      <c r="A140" t="s">
        <v>17</v>
      </c>
      <c r="B140" s="1" t="s">
        <v>69</v>
      </c>
      <c r="C140" s="1" t="s">
        <v>44</v>
      </c>
      <c r="D140">
        <f>IF(VLOOKUP(B140,'aturan_fuzzy (rule)'!$A$2:$E$28,2,FALSE)="Rendah",VLOOKUP(A140,fuzzifikasi!$A:$M,3,FALSE),IF(VLOOKUP(B140,'aturan_fuzzy (rule)'!$A$2:$E$28,2,FALSE)="Sedang",VLOOKUP(A140,fuzzifikasi!$A:$M,4,FALSE),VLOOKUP(A140,fuzzifikasi!$A:$M,5,FALSE)))</f>
        <v>0</v>
      </c>
      <c r="E140">
        <f>IF(VLOOKUP(B140,'aturan_fuzzy (rule)'!$A$2:$E$28,3,FALSE)="Rendah",VLOOKUP(A140,fuzzifikasi!$A:$M,7,FALSE),IF(VLOOKUP(B140,'aturan_fuzzy (rule)'!$A$2:$E$28,3,FALSE)="Sedang",VLOOKUP(A140,fuzzifikasi!$A:$M,8,FALSE),VLOOKUP(A140,fuzzifikasi!$A:$M,9,FALSE)))</f>
        <v>0</v>
      </c>
      <c r="F140">
        <f>IF(VLOOKUP(B140,'aturan_fuzzy (rule)'!$A$2:$E$28,4,FALSE)="Rendah",VLOOKUP(A140,fuzzifikasi!$A:$M,11,FALSE),IF(VLOOKUP(B140,'aturan_fuzzy (rule)'!$A$2:$E$28,4,FALSE)="Sedang",VLOOKUP(A140,fuzzifikasi!$A:$M,12,FALSE),VLOOKUP(A140,fuzzifikasi!$A:$M,13,FALSE)))</f>
        <v>0</v>
      </c>
      <c r="G140">
        <f t="shared" si="6"/>
        <v>0</v>
      </c>
      <c r="H140">
        <f t="shared" si="7"/>
        <v>70</v>
      </c>
      <c r="I140">
        <f t="shared" si="8"/>
        <v>0</v>
      </c>
    </row>
    <row r="142" spans="1:9" x14ac:dyDescent="0.3">
      <c r="A142" t="s">
        <v>20</v>
      </c>
      <c r="B142" s="1" t="s">
        <v>40</v>
      </c>
      <c r="C142" s="1" t="s">
        <v>41</v>
      </c>
      <c r="D142">
        <f>IF(VLOOKUP(B142,'aturan_fuzzy (rule)'!$A$2:$E$28,2,FALSE)="Rendah",VLOOKUP(A142,fuzzifikasi!$A:$M,3,FALSE),IF(VLOOKUP(B142,'aturan_fuzzy (rule)'!$A$2:$E$28,2,FALSE)="Sedang",VLOOKUP(A142,fuzzifikasi!$A:$M,4,FALSE),VLOOKUP(A142,fuzzifikasi!$A:$M,5,FALSE)))</f>
        <v>0</v>
      </c>
      <c r="E142">
        <f>IF(VLOOKUP(B142,'aturan_fuzzy (rule)'!$A$2:$E$28,3,FALSE)="Rendah",VLOOKUP(A142,fuzzifikasi!$A:$M,7,FALSE),IF(VLOOKUP(B142,'aturan_fuzzy (rule)'!$A$2:$E$28,3,FALSE)="Sedang",VLOOKUP(A142,fuzzifikasi!$A:$M,8,FALSE),VLOOKUP(A142,fuzzifikasi!$A:$M,9,FALSE)))</f>
        <v>1</v>
      </c>
      <c r="F142">
        <f>IF(VLOOKUP(B142,'aturan_fuzzy (rule)'!$A$2:$E$28,4,FALSE)="Rendah",VLOOKUP(A142,fuzzifikasi!$A:$M,11,FALSE),IF(VLOOKUP(B142,'aturan_fuzzy (rule)'!$A$2:$E$28,4,FALSE)="Sedang",VLOOKUP(A142,fuzzifikasi!$A:$M,12,FALSE),VLOOKUP(A142,fuzzifikasi!$A:$M,13,FALSE)))</f>
        <v>1</v>
      </c>
      <c r="G142">
        <f t="shared" si="6"/>
        <v>0</v>
      </c>
      <c r="H142">
        <f t="shared" si="7"/>
        <v>40</v>
      </c>
      <c r="I142">
        <f t="shared" si="8"/>
        <v>0</v>
      </c>
    </row>
    <row r="143" spans="1:9" x14ac:dyDescent="0.3">
      <c r="A143" t="s">
        <v>20</v>
      </c>
      <c r="B143" s="1" t="s">
        <v>42</v>
      </c>
      <c r="C143" s="1" t="s">
        <v>41</v>
      </c>
      <c r="D143">
        <f>IF(VLOOKUP(B143,'aturan_fuzzy (rule)'!$A$2:$E$28,2,FALSE)="Rendah",VLOOKUP(A143,fuzzifikasi!$A:$M,3,FALSE),IF(VLOOKUP(B143,'aturan_fuzzy (rule)'!$A$2:$E$28,2,FALSE)="Sedang",VLOOKUP(A143,fuzzifikasi!$A:$M,4,FALSE),VLOOKUP(A143,fuzzifikasi!$A:$M,5,FALSE)))</f>
        <v>0</v>
      </c>
      <c r="E143">
        <f>IF(VLOOKUP(B143,'aturan_fuzzy (rule)'!$A$2:$E$28,3,FALSE)="Rendah",VLOOKUP(A143,fuzzifikasi!$A:$M,7,FALSE),IF(VLOOKUP(B143,'aturan_fuzzy (rule)'!$A$2:$E$28,3,FALSE)="Sedang",VLOOKUP(A143,fuzzifikasi!$A:$M,8,FALSE),VLOOKUP(A143,fuzzifikasi!$A:$M,9,FALSE)))</f>
        <v>1</v>
      </c>
      <c r="F143">
        <f>IF(VLOOKUP(B143,'aturan_fuzzy (rule)'!$A$2:$E$28,4,FALSE)="Rendah",VLOOKUP(A143,fuzzifikasi!$A:$M,11,FALSE),IF(VLOOKUP(B143,'aturan_fuzzy (rule)'!$A$2:$E$28,4,FALSE)="Sedang",VLOOKUP(A143,fuzzifikasi!$A:$M,12,FALSE),VLOOKUP(A143,fuzzifikasi!$A:$M,13,FALSE)))</f>
        <v>0</v>
      </c>
      <c r="G143">
        <f t="shared" si="6"/>
        <v>0</v>
      </c>
      <c r="H143">
        <f t="shared" si="7"/>
        <v>40</v>
      </c>
      <c r="I143">
        <f t="shared" si="8"/>
        <v>0</v>
      </c>
    </row>
    <row r="144" spans="1:9" x14ac:dyDescent="0.3">
      <c r="A144" t="s">
        <v>20</v>
      </c>
      <c r="B144" s="1" t="s">
        <v>43</v>
      </c>
      <c r="C144" s="1" t="s">
        <v>44</v>
      </c>
      <c r="D144">
        <f>IF(VLOOKUP(B144,'aturan_fuzzy (rule)'!$A$2:$E$28,2,FALSE)="Rendah",VLOOKUP(A144,fuzzifikasi!$A:$M,3,FALSE),IF(VLOOKUP(B144,'aturan_fuzzy (rule)'!$A$2:$E$28,2,FALSE)="Sedang",VLOOKUP(A144,fuzzifikasi!$A:$M,4,FALSE),VLOOKUP(A144,fuzzifikasi!$A:$M,5,FALSE)))</f>
        <v>0</v>
      </c>
      <c r="E144">
        <f>IF(VLOOKUP(B144,'aturan_fuzzy (rule)'!$A$2:$E$28,3,FALSE)="Rendah",VLOOKUP(A144,fuzzifikasi!$A:$M,7,FALSE),IF(VLOOKUP(B144,'aturan_fuzzy (rule)'!$A$2:$E$28,3,FALSE)="Sedang",VLOOKUP(A144,fuzzifikasi!$A:$M,8,FALSE),VLOOKUP(A144,fuzzifikasi!$A:$M,9,FALSE)))</f>
        <v>1</v>
      </c>
      <c r="F144">
        <f>IF(VLOOKUP(B144,'aturan_fuzzy (rule)'!$A$2:$E$28,4,FALSE)="Rendah",VLOOKUP(A144,fuzzifikasi!$A:$M,11,FALSE),IF(VLOOKUP(B144,'aturan_fuzzy (rule)'!$A$2:$E$28,4,FALSE)="Sedang",VLOOKUP(A144,fuzzifikasi!$A:$M,12,FALSE),VLOOKUP(A144,fuzzifikasi!$A:$M,13,FALSE)))</f>
        <v>0</v>
      </c>
      <c r="G144">
        <f t="shared" si="6"/>
        <v>0</v>
      </c>
      <c r="H144">
        <f t="shared" si="7"/>
        <v>70</v>
      </c>
      <c r="I144">
        <f t="shared" si="8"/>
        <v>0</v>
      </c>
    </row>
    <row r="145" spans="1:9" x14ac:dyDescent="0.3">
      <c r="A145" t="s">
        <v>20</v>
      </c>
      <c r="B145" s="1" t="s">
        <v>45</v>
      </c>
      <c r="C145" s="1" t="s">
        <v>41</v>
      </c>
      <c r="D145">
        <f>IF(VLOOKUP(B145,'aturan_fuzzy (rule)'!$A$2:$E$28,2,FALSE)="Rendah",VLOOKUP(A145,fuzzifikasi!$A:$M,3,FALSE),IF(VLOOKUP(B145,'aturan_fuzzy (rule)'!$A$2:$E$28,2,FALSE)="Sedang",VLOOKUP(A145,fuzzifikasi!$A:$M,4,FALSE),VLOOKUP(A145,fuzzifikasi!$A:$M,5,FALSE)))</f>
        <v>0</v>
      </c>
      <c r="E145">
        <f>IF(VLOOKUP(B145,'aturan_fuzzy (rule)'!$A$2:$E$28,3,FALSE)="Rendah",VLOOKUP(A145,fuzzifikasi!$A:$M,7,FALSE),IF(VLOOKUP(B145,'aturan_fuzzy (rule)'!$A$2:$E$28,3,FALSE)="Sedang",VLOOKUP(A145,fuzzifikasi!$A:$M,8,FALSE),VLOOKUP(A145,fuzzifikasi!$A:$M,9,FALSE)))</f>
        <v>0</v>
      </c>
      <c r="F145">
        <f>IF(VLOOKUP(B145,'aturan_fuzzy (rule)'!$A$2:$E$28,4,FALSE)="Rendah",VLOOKUP(A145,fuzzifikasi!$A:$M,11,FALSE),IF(VLOOKUP(B145,'aturan_fuzzy (rule)'!$A$2:$E$28,4,FALSE)="Sedang",VLOOKUP(A145,fuzzifikasi!$A:$M,12,FALSE),VLOOKUP(A145,fuzzifikasi!$A:$M,13,FALSE)))</f>
        <v>1</v>
      </c>
      <c r="G145">
        <f t="shared" si="6"/>
        <v>0</v>
      </c>
      <c r="H145">
        <f t="shared" si="7"/>
        <v>40</v>
      </c>
      <c r="I145">
        <f t="shared" si="8"/>
        <v>0</v>
      </c>
    </row>
    <row r="146" spans="1:9" x14ac:dyDescent="0.3">
      <c r="A146" t="s">
        <v>20</v>
      </c>
      <c r="B146" s="1" t="s">
        <v>46</v>
      </c>
      <c r="C146" s="1" t="s">
        <v>44</v>
      </c>
      <c r="D146">
        <f>IF(VLOOKUP(B146,'aturan_fuzzy (rule)'!$A$2:$E$28,2,FALSE)="Rendah",VLOOKUP(A146,fuzzifikasi!$A:$M,3,FALSE),IF(VLOOKUP(B146,'aturan_fuzzy (rule)'!$A$2:$E$28,2,FALSE)="Sedang",VLOOKUP(A146,fuzzifikasi!$A:$M,4,FALSE),VLOOKUP(A146,fuzzifikasi!$A:$M,5,FALSE)))</f>
        <v>0</v>
      </c>
      <c r="E146">
        <f>IF(VLOOKUP(B146,'aturan_fuzzy (rule)'!$A$2:$E$28,3,FALSE)="Rendah",VLOOKUP(A146,fuzzifikasi!$A:$M,7,FALSE),IF(VLOOKUP(B146,'aturan_fuzzy (rule)'!$A$2:$E$28,3,FALSE)="Sedang",VLOOKUP(A146,fuzzifikasi!$A:$M,8,FALSE),VLOOKUP(A146,fuzzifikasi!$A:$M,9,FALSE)))</f>
        <v>0</v>
      </c>
      <c r="F146">
        <f>IF(VLOOKUP(B146,'aturan_fuzzy (rule)'!$A$2:$E$28,4,FALSE)="Rendah",VLOOKUP(A146,fuzzifikasi!$A:$M,11,FALSE),IF(VLOOKUP(B146,'aturan_fuzzy (rule)'!$A$2:$E$28,4,FALSE)="Sedang",VLOOKUP(A146,fuzzifikasi!$A:$M,12,FALSE),VLOOKUP(A146,fuzzifikasi!$A:$M,13,FALSE)))</f>
        <v>0</v>
      </c>
      <c r="G146">
        <f t="shared" si="6"/>
        <v>0</v>
      </c>
      <c r="H146">
        <f t="shared" si="7"/>
        <v>70</v>
      </c>
      <c r="I146">
        <f t="shared" si="8"/>
        <v>0</v>
      </c>
    </row>
    <row r="147" spans="1:9" x14ac:dyDescent="0.3">
      <c r="A147" t="s">
        <v>20</v>
      </c>
      <c r="B147" s="1" t="s">
        <v>47</v>
      </c>
      <c r="C147" s="1" t="s">
        <v>44</v>
      </c>
      <c r="D147">
        <f>IF(VLOOKUP(B147,'aturan_fuzzy (rule)'!$A$2:$E$28,2,FALSE)="Rendah",VLOOKUP(A147,fuzzifikasi!$A:$M,3,FALSE),IF(VLOOKUP(B147,'aturan_fuzzy (rule)'!$A$2:$E$28,2,FALSE)="Sedang",VLOOKUP(A147,fuzzifikasi!$A:$M,4,FALSE),VLOOKUP(A147,fuzzifikasi!$A:$M,5,FALSE)))</f>
        <v>0</v>
      </c>
      <c r="E147">
        <f>IF(VLOOKUP(B147,'aturan_fuzzy (rule)'!$A$2:$E$28,3,FALSE)="Rendah",VLOOKUP(A147,fuzzifikasi!$A:$M,7,FALSE),IF(VLOOKUP(B147,'aturan_fuzzy (rule)'!$A$2:$E$28,3,FALSE)="Sedang",VLOOKUP(A147,fuzzifikasi!$A:$M,8,FALSE),VLOOKUP(A147,fuzzifikasi!$A:$M,9,FALSE)))</f>
        <v>0</v>
      </c>
      <c r="F147">
        <f>IF(VLOOKUP(B147,'aturan_fuzzy (rule)'!$A$2:$E$28,4,FALSE)="Rendah",VLOOKUP(A147,fuzzifikasi!$A:$M,11,FALSE),IF(VLOOKUP(B147,'aturan_fuzzy (rule)'!$A$2:$E$28,4,FALSE)="Sedang",VLOOKUP(A147,fuzzifikasi!$A:$M,12,FALSE),VLOOKUP(A147,fuzzifikasi!$A:$M,13,FALSE)))</f>
        <v>0</v>
      </c>
      <c r="G147">
        <f t="shared" si="6"/>
        <v>0</v>
      </c>
      <c r="H147">
        <f t="shared" si="7"/>
        <v>70</v>
      </c>
      <c r="I147">
        <f t="shared" si="8"/>
        <v>0</v>
      </c>
    </row>
    <row r="148" spans="1:9" x14ac:dyDescent="0.3">
      <c r="A148" t="s">
        <v>20</v>
      </c>
      <c r="B148" s="1" t="s">
        <v>48</v>
      </c>
      <c r="C148" s="1" t="s">
        <v>44</v>
      </c>
      <c r="D148">
        <f>IF(VLOOKUP(B148,'aturan_fuzzy (rule)'!$A$2:$E$28,2,FALSE)="Rendah",VLOOKUP(A148,fuzzifikasi!$A:$M,3,FALSE),IF(VLOOKUP(B148,'aturan_fuzzy (rule)'!$A$2:$E$28,2,FALSE)="Sedang",VLOOKUP(A148,fuzzifikasi!$A:$M,4,FALSE),VLOOKUP(A148,fuzzifikasi!$A:$M,5,FALSE)))</f>
        <v>0</v>
      </c>
      <c r="E148">
        <f>IF(VLOOKUP(B148,'aturan_fuzzy (rule)'!$A$2:$E$28,3,FALSE)="Rendah",VLOOKUP(A148,fuzzifikasi!$A:$M,7,FALSE),IF(VLOOKUP(B148,'aturan_fuzzy (rule)'!$A$2:$E$28,3,FALSE)="Sedang",VLOOKUP(A148,fuzzifikasi!$A:$M,8,FALSE),VLOOKUP(A148,fuzzifikasi!$A:$M,9,FALSE)))</f>
        <v>0</v>
      </c>
      <c r="F148">
        <f>IF(VLOOKUP(B148,'aturan_fuzzy (rule)'!$A$2:$E$28,4,FALSE)="Rendah",VLOOKUP(A148,fuzzifikasi!$A:$M,11,FALSE),IF(VLOOKUP(B148,'aturan_fuzzy (rule)'!$A$2:$E$28,4,FALSE)="Sedang",VLOOKUP(A148,fuzzifikasi!$A:$M,12,FALSE),VLOOKUP(A148,fuzzifikasi!$A:$M,13,FALSE)))</f>
        <v>1</v>
      </c>
      <c r="G148">
        <f t="shared" si="6"/>
        <v>0</v>
      </c>
      <c r="H148">
        <f t="shared" si="7"/>
        <v>70</v>
      </c>
      <c r="I148">
        <f t="shared" si="8"/>
        <v>0</v>
      </c>
    </row>
    <row r="149" spans="1:9" x14ac:dyDescent="0.3">
      <c r="A149" t="s">
        <v>20</v>
      </c>
      <c r="B149" s="1" t="s">
        <v>49</v>
      </c>
      <c r="C149" s="1" t="s">
        <v>44</v>
      </c>
      <c r="D149">
        <f>IF(VLOOKUP(B149,'aturan_fuzzy (rule)'!$A$2:$E$28,2,FALSE)="Rendah",VLOOKUP(A149,fuzzifikasi!$A:$M,3,FALSE),IF(VLOOKUP(B149,'aturan_fuzzy (rule)'!$A$2:$E$28,2,FALSE)="Sedang",VLOOKUP(A149,fuzzifikasi!$A:$M,4,FALSE),VLOOKUP(A149,fuzzifikasi!$A:$M,5,FALSE)))</f>
        <v>0</v>
      </c>
      <c r="E149">
        <f>IF(VLOOKUP(B149,'aturan_fuzzy (rule)'!$A$2:$E$28,3,FALSE)="Rendah",VLOOKUP(A149,fuzzifikasi!$A:$M,7,FALSE),IF(VLOOKUP(B149,'aturan_fuzzy (rule)'!$A$2:$E$28,3,FALSE)="Sedang",VLOOKUP(A149,fuzzifikasi!$A:$M,8,FALSE),VLOOKUP(A149,fuzzifikasi!$A:$M,9,FALSE)))</f>
        <v>0</v>
      </c>
      <c r="F149">
        <f>IF(VLOOKUP(B149,'aturan_fuzzy (rule)'!$A$2:$E$28,4,FALSE)="Rendah",VLOOKUP(A149,fuzzifikasi!$A:$M,11,FALSE),IF(VLOOKUP(B149,'aturan_fuzzy (rule)'!$A$2:$E$28,4,FALSE)="Sedang",VLOOKUP(A149,fuzzifikasi!$A:$M,12,FALSE),VLOOKUP(A149,fuzzifikasi!$A:$M,13,FALSE)))</f>
        <v>0</v>
      </c>
      <c r="G149">
        <f t="shared" si="6"/>
        <v>0</v>
      </c>
      <c r="H149">
        <f t="shared" si="7"/>
        <v>70</v>
      </c>
      <c r="I149">
        <f t="shared" si="8"/>
        <v>0</v>
      </c>
    </row>
    <row r="150" spans="1:9" x14ac:dyDescent="0.3">
      <c r="A150" t="s">
        <v>20</v>
      </c>
      <c r="B150" s="1" t="s">
        <v>50</v>
      </c>
      <c r="C150" s="1" t="s">
        <v>44</v>
      </c>
      <c r="D150">
        <f>IF(VLOOKUP(B150,'aturan_fuzzy (rule)'!$A$2:$E$28,2,FALSE)="Rendah",VLOOKUP(A150,fuzzifikasi!$A:$M,3,FALSE),IF(VLOOKUP(B150,'aturan_fuzzy (rule)'!$A$2:$E$28,2,FALSE)="Sedang",VLOOKUP(A150,fuzzifikasi!$A:$M,4,FALSE),VLOOKUP(A150,fuzzifikasi!$A:$M,5,FALSE)))</f>
        <v>0</v>
      </c>
      <c r="E150">
        <f>IF(VLOOKUP(B150,'aturan_fuzzy (rule)'!$A$2:$E$28,3,FALSE)="Rendah",VLOOKUP(A150,fuzzifikasi!$A:$M,7,FALSE),IF(VLOOKUP(B150,'aturan_fuzzy (rule)'!$A$2:$E$28,3,FALSE)="Sedang",VLOOKUP(A150,fuzzifikasi!$A:$M,8,FALSE),VLOOKUP(A150,fuzzifikasi!$A:$M,9,FALSE)))</f>
        <v>0</v>
      </c>
      <c r="F150">
        <f>IF(VLOOKUP(B150,'aturan_fuzzy (rule)'!$A$2:$E$28,4,FALSE)="Rendah",VLOOKUP(A150,fuzzifikasi!$A:$M,11,FALSE),IF(VLOOKUP(B150,'aturan_fuzzy (rule)'!$A$2:$E$28,4,FALSE)="Sedang",VLOOKUP(A150,fuzzifikasi!$A:$M,12,FALSE),VLOOKUP(A150,fuzzifikasi!$A:$M,13,FALSE)))</f>
        <v>0</v>
      </c>
      <c r="G150">
        <f t="shared" si="6"/>
        <v>0</v>
      </c>
      <c r="H150">
        <f t="shared" si="7"/>
        <v>70</v>
      </c>
      <c r="I150">
        <f t="shared" si="8"/>
        <v>0</v>
      </c>
    </row>
    <row r="151" spans="1:9" x14ac:dyDescent="0.3">
      <c r="A151" t="s">
        <v>20</v>
      </c>
      <c r="B151" s="1" t="s">
        <v>51</v>
      </c>
      <c r="C151" s="1" t="s">
        <v>52</v>
      </c>
      <c r="D151">
        <f>IF(VLOOKUP(B151,'aturan_fuzzy (rule)'!$A$2:$E$28,2,FALSE)="Rendah",VLOOKUP(A151,fuzzifikasi!$A:$M,3,FALSE),IF(VLOOKUP(B151,'aturan_fuzzy (rule)'!$A$2:$E$28,2,FALSE)="Sedang",VLOOKUP(A151,fuzzifikasi!$A:$M,4,FALSE),VLOOKUP(A151,fuzzifikasi!$A:$M,5,FALSE)))</f>
        <v>0.66666666666666663</v>
      </c>
      <c r="E151">
        <f>IF(VLOOKUP(B151,'aturan_fuzzy (rule)'!$A$2:$E$28,3,FALSE)="Rendah",VLOOKUP(A151,fuzzifikasi!$A:$M,7,FALSE),IF(VLOOKUP(B151,'aturan_fuzzy (rule)'!$A$2:$E$28,3,FALSE)="Sedang",VLOOKUP(A151,fuzzifikasi!$A:$M,8,FALSE),VLOOKUP(A151,fuzzifikasi!$A:$M,9,FALSE)))</f>
        <v>1</v>
      </c>
      <c r="F151">
        <f>IF(VLOOKUP(B151,'aturan_fuzzy (rule)'!$A$2:$E$28,4,FALSE)="Rendah",VLOOKUP(A151,fuzzifikasi!$A:$M,11,FALSE),IF(VLOOKUP(B151,'aturan_fuzzy (rule)'!$A$2:$E$28,4,FALSE)="Sedang",VLOOKUP(A151,fuzzifikasi!$A:$M,12,FALSE),VLOOKUP(A151,fuzzifikasi!$A:$M,13,FALSE)))</f>
        <v>1</v>
      </c>
      <c r="G151">
        <f t="shared" si="6"/>
        <v>0.66666666666666663</v>
      </c>
      <c r="H151">
        <f t="shared" si="7"/>
        <v>13.333333333333336</v>
      </c>
      <c r="I151">
        <f t="shared" si="8"/>
        <v>8.8888888888888893</v>
      </c>
    </row>
    <row r="152" spans="1:9" x14ac:dyDescent="0.3">
      <c r="A152" t="s">
        <v>20</v>
      </c>
      <c r="B152" s="1" t="s">
        <v>53</v>
      </c>
      <c r="C152" s="1" t="s">
        <v>41</v>
      </c>
      <c r="D152">
        <f>IF(VLOOKUP(B152,'aturan_fuzzy (rule)'!$A$2:$E$28,2,FALSE)="Rendah",VLOOKUP(A152,fuzzifikasi!$A:$M,3,FALSE),IF(VLOOKUP(B152,'aturan_fuzzy (rule)'!$A$2:$E$28,2,FALSE)="Sedang",VLOOKUP(A152,fuzzifikasi!$A:$M,4,FALSE),VLOOKUP(A152,fuzzifikasi!$A:$M,5,FALSE)))</f>
        <v>0.66666666666666663</v>
      </c>
      <c r="E152">
        <f>IF(VLOOKUP(B152,'aturan_fuzzy (rule)'!$A$2:$E$28,3,FALSE)="Rendah",VLOOKUP(A152,fuzzifikasi!$A:$M,7,FALSE),IF(VLOOKUP(B152,'aturan_fuzzy (rule)'!$A$2:$E$28,3,FALSE)="Sedang",VLOOKUP(A152,fuzzifikasi!$A:$M,8,FALSE),VLOOKUP(A152,fuzzifikasi!$A:$M,9,FALSE)))</f>
        <v>1</v>
      </c>
      <c r="F152">
        <f>IF(VLOOKUP(B152,'aturan_fuzzy (rule)'!$A$2:$E$28,4,FALSE)="Rendah",VLOOKUP(A152,fuzzifikasi!$A:$M,11,FALSE),IF(VLOOKUP(B152,'aturan_fuzzy (rule)'!$A$2:$E$28,4,FALSE)="Sedang",VLOOKUP(A152,fuzzifikasi!$A:$M,12,FALSE),VLOOKUP(A152,fuzzifikasi!$A:$M,13,FALSE)))</f>
        <v>0</v>
      </c>
      <c r="G152">
        <f t="shared" si="6"/>
        <v>0</v>
      </c>
      <c r="H152">
        <f t="shared" si="7"/>
        <v>40</v>
      </c>
      <c r="I152">
        <f t="shared" si="8"/>
        <v>0</v>
      </c>
    </row>
    <row r="153" spans="1:9" x14ac:dyDescent="0.3">
      <c r="A153" t="s">
        <v>20</v>
      </c>
      <c r="B153" s="1" t="s">
        <v>54</v>
      </c>
      <c r="C153" s="1" t="s">
        <v>41</v>
      </c>
      <c r="D153">
        <f>IF(VLOOKUP(B153,'aturan_fuzzy (rule)'!$A$2:$E$28,2,FALSE)="Rendah",VLOOKUP(A153,fuzzifikasi!$A:$M,3,FALSE),IF(VLOOKUP(B153,'aturan_fuzzy (rule)'!$A$2:$E$28,2,FALSE)="Sedang",VLOOKUP(A153,fuzzifikasi!$A:$M,4,FALSE),VLOOKUP(A153,fuzzifikasi!$A:$M,5,FALSE)))</f>
        <v>0.66666666666666663</v>
      </c>
      <c r="E153">
        <f>IF(VLOOKUP(B153,'aturan_fuzzy (rule)'!$A$2:$E$28,3,FALSE)="Rendah",VLOOKUP(A153,fuzzifikasi!$A:$M,7,FALSE),IF(VLOOKUP(B153,'aturan_fuzzy (rule)'!$A$2:$E$28,3,FALSE)="Sedang",VLOOKUP(A153,fuzzifikasi!$A:$M,8,FALSE),VLOOKUP(A153,fuzzifikasi!$A:$M,9,FALSE)))</f>
        <v>1</v>
      </c>
      <c r="F153">
        <f>IF(VLOOKUP(B153,'aturan_fuzzy (rule)'!$A$2:$E$28,4,FALSE)="Rendah",VLOOKUP(A153,fuzzifikasi!$A:$M,11,FALSE),IF(VLOOKUP(B153,'aturan_fuzzy (rule)'!$A$2:$E$28,4,FALSE)="Sedang",VLOOKUP(A153,fuzzifikasi!$A:$M,12,FALSE),VLOOKUP(A153,fuzzifikasi!$A:$M,13,FALSE)))</f>
        <v>0</v>
      </c>
      <c r="G153">
        <f t="shared" si="6"/>
        <v>0</v>
      </c>
      <c r="H153">
        <f t="shared" si="7"/>
        <v>40</v>
      </c>
      <c r="I153">
        <f t="shared" si="8"/>
        <v>0</v>
      </c>
    </row>
    <row r="154" spans="1:9" x14ac:dyDescent="0.3">
      <c r="A154" t="s">
        <v>20</v>
      </c>
      <c r="B154" s="1" t="s">
        <v>55</v>
      </c>
      <c r="C154" s="1" t="s">
        <v>41</v>
      </c>
      <c r="D154">
        <f>IF(VLOOKUP(B154,'aturan_fuzzy (rule)'!$A$2:$E$28,2,FALSE)="Rendah",VLOOKUP(A154,fuzzifikasi!$A:$M,3,FALSE),IF(VLOOKUP(B154,'aturan_fuzzy (rule)'!$A$2:$E$28,2,FALSE)="Sedang",VLOOKUP(A154,fuzzifikasi!$A:$M,4,FALSE),VLOOKUP(A154,fuzzifikasi!$A:$M,5,FALSE)))</f>
        <v>0.66666666666666663</v>
      </c>
      <c r="E154">
        <f>IF(VLOOKUP(B154,'aturan_fuzzy (rule)'!$A$2:$E$28,3,FALSE)="Rendah",VLOOKUP(A154,fuzzifikasi!$A:$M,7,FALSE),IF(VLOOKUP(B154,'aturan_fuzzy (rule)'!$A$2:$E$28,3,FALSE)="Sedang",VLOOKUP(A154,fuzzifikasi!$A:$M,8,FALSE),VLOOKUP(A154,fuzzifikasi!$A:$M,9,FALSE)))</f>
        <v>0</v>
      </c>
      <c r="F154">
        <f>IF(VLOOKUP(B154,'aturan_fuzzy (rule)'!$A$2:$E$28,4,FALSE)="Rendah",VLOOKUP(A154,fuzzifikasi!$A:$M,11,FALSE),IF(VLOOKUP(B154,'aturan_fuzzy (rule)'!$A$2:$E$28,4,FALSE)="Sedang",VLOOKUP(A154,fuzzifikasi!$A:$M,12,FALSE),VLOOKUP(A154,fuzzifikasi!$A:$M,13,FALSE)))</f>
        <v>1</v>
      </c>
      <c r="G154">
        <f t="shared" si="6"/>
        <v>0</v>
      </c>
      <c r="H154">
        <f t="shared" si="7"/>
        <v>40</v>
      </c>
      <c r="I154">
        <f t="shared" si="8"/>
        <v>0</v>
      </c>
    </row>
    <row r="155" spans="1:9" x14ac:dyDescent="0.3">
      <c r="A155" t="s">
        <v>20</v>
      </c>
      <c r="B155" s="1" t="s">
        <v>56</v>
      </c>
      <c r="C155" s="1" t="s">
        <v>41</v>
      </c>
      <c r="D155">
        <f>IF(VLOOKUP(B155,'aturan_fuzzy (rule)'!$A$2:$E$28,2,FALSE)="Rendah",VLOOKUP(A155,fuzzifikasi!$A:$M,3,FALSE),IF(VLOOKUP(B155,'aturan_fuzzy (rule)'!$A$2:$E$28,2,FALSE)="Sedang",VLOOKUP(A155,fuzzifikasi!$A:$M,4,FALSE),VLOOKUP(A155,fuzzifikasi!$A:$M,5,FALSE)))</f>
        <v>0.66666666666666663</v>
      </c>
      <c r="E155">
        <f>IF(VLOOKUP(B155,'aturan_fuzzy (rule)'!$A$2:$E$28,3,FALSE)="Rendah",VLOOKUP(A155,fuzzifikasi!$A:$M,7,FALSE),IF(VLOOKUP(B155,'aturan_fuzzy (rule)'!$A$2:$E$28,3,FALSE)="Sedang",VLOOKUP(A155,fuzzifikasi!$A:$M,8,FALSE),VLOOKUP(A155,fuzzifikasi!$A:$M,9,FALSE)))</f>
        <v>0</v>
      </c>
      <c r="F155">
        <f>IF(VLOOKUP(B155,'aturan_fuzzy (rule)'!$A$2:$E$28,4,FALSE)="Rendah",VLOOKUP(A155,fuzzifikasi!$A:$M,11,FALSE),IF(VLOOKUP(B155,'aturan_fuzzy (rule)'!$A$2:$E$28,4,FALSE)="Sedang",VLOOKUP(A155,fuzzifikasi!$A:$M,12,FALSE),VLOOKUP(A155,fuzzifikasi!$A:$M,13,FALSE)))</f>
        <v>0</v>
      </c>
      <c r="G155">
        <f t="shared" si="6"/>
        <v>0</v>
      </c>
      <c r="H155">
        <f t="shared" si="7"/>
        <v>40</v>
      </c>
      <c r="I155">
        <f t="shared" si="8"/>
        <v>0</v>
      </c>
    </row>
    <row r="156" spans="1:9" x14ac:dyDescent="0.3">
      <c r="A156" t="s">
        <v>20</v>
      </c>
      <c r="B156" s="1" t="s">
        <v>57</v>
      </c>
      <c r="C156" s="1" t="s">
        <v>44</v>
      </c>
      <c r="D156">
        <f>IF(VLOOKUP(B156,'aturan_fuzzy (rule)'!$A$2:$E$28,2,FALSE)="Rendah",VLOOKUP(A156,fuzzifikasi!$A:$M,3,FALSE),IF(VLOOKUP(B156,'aturan_fuzzy (rule)'!$A$2:$E$28,2,FALSE)="Sedang",VLOOKUP(A156,fuzzifikasi!$A:$M,4,FALSE),VLOOKUP(A156,fuzzifikasi!$A:$M,5,FALSE)))</f>
        <v>0.66666666666666663</v>
      </c>
      <c r="E156">
        <f>IF(VLOOKUP(B156,'aturan_fuzzy (rule)'!$A$2:$E$28,3,FALSE)="Rendah",VLOOKUP(A156,fuzzifikasi!$A:$M,7,FALSE),IF(VLOOKUP(B156,'aturan_fuzzy (rule)'!$A$2:$E$28,3,FALSE)="Sedang",VLOOKUP(A156,fuzzifikasi!$A:$M,8,FALSE),VLOOKUP(A156,fuzzifikasi!$A:$M,9,FALSE)))</f>
        <v>0</v>
      </c>
      <c r="F156">
        <f>IF(VLOOKUP(B156,'aturan_fuzzy (rule)'!$A$2:$E$28,4,FALSE)="Rendah",VLOOKUP(A156,fuzzifikasi!$A:$M,11,FALSE),IF(VLOOKUP(B156,'aturan_fuzzy (rule)'!$A$2:$E$28,4,FALSE)="Sedang",VLOOKUP(A156,fuzzifikasi!$A:$M,12,FALSE),VLOOKUP(A156,fuzzifikasi!$A:$M,13,FALSE)))</f>
        <v>0</v>
      </c>
      <c r="G156">
        <f t="shared" si="6"/>
        <v>0</v>
      </c>
      <c r="H156">
        <f t="shared" si="7"/>
        <v>70</v>
      </c>
      <c r="I156">
        <f t="shared" si="8"/>
        <v>0</v>
      </c>
    </row>
    <row r="157" spans="1:9" x14ac:dyDescent="0.3">
      <c r="A157" t="s">
        <v>20</v>
      </c>
      <c r="B157" s="1" t="s">
        <v>58</v>
      </c>
      <c r="C157" s="1" t="s">
        <v>41</v>
      </c>
      <c r="D157">
        <f>IF(VLOOKUP(B157,'aturan_fuzzy (rule)'!$A$2:$E$28,2,FALSE)="Rendah",VLOOKUP(A157,fuzzifikasi!$A:$M,3,FALSE),IF(VLOOKUP(B157,'aturan_fuzzy (rule)'!$A$2:$E$28,2,FALSE)="Sedang",VLOOKUP(A157,fuzzifikasi!$A:$M,4,FALSE),VLOOKUP(A157,fuzzifikasi!$A:$M,5,FALSE)))</f>
        <v>0.66666666666666663</v>
      </c>
      <c r="E157">
        <f>IF(VLOOKUP(B157,'aturan_fuzzy (rule)'!$A$2:$E$28,3,FALSE)="Rendah",VLOOKUP(A157,fuzzifikasi!$A:$M,7,FALSE),IF(VLOOKUP(B157,'aturan_fuzzy (rule)'!$A$2:$E$28,3,FALSE)="Sedang",VLOOKUP(A157,fuzzifikasi!$A:$M,8,FALSE),VLOOKUP(A157,fuzzifikasi!$A:$M,9,FALSE)))</f>
        <v>0</v>
      </c>
      <c r="F157">
        <f>IF(VLOOKUP(B157,'aturan_fuzzy (rule)'!$A$2:$E$28,4,FALSE)="Rendah",VLOOKUP(A157,fuzzifikasi!$A:$M,11,FALSE),IF(VLOOKUP(B157,'aturan_fuzzy (rule)'!$A$2:$E$28,4,FALSE)="Sedang",VLOOKUP(A157,fuzzifikasi!$A:$M,12,FALSE),VLOOKUP(A157,fuzzifikasi!$A:$M,13,FALSE)))</f>
        <v>1</v>
      </c>
      <c r="G157">
        <f t="shared" si="6"/>
        <v>0</v>
      </c>
      <c r="H157">
        <f t="shared" si="7"/>
        <v>40</v>
      </c>
      <c r="I157">
        <f t="shared" si="8"/>
        <v>0</v>
      </c>
    </row>
    <row r="158" spans="1:9" x14ac:dyDescent="0.3">
      <c r="A158" t="s">
        <v>20</v>
      </c>
      <c r="B158" s="1" t="s">
        <v>59</v>
      </c>
      <c r="C158" s="1" t="s">
        <v>44</v>
      </c>
      <c r="D158">
        <f>IF(VLOOKUP(B158,'aturan_fuzzy (rule)'!$A$2:$E$28,2,FALSE)="Rendah",VLOOKUP(A158,fuzzifikasi!$A:$M,3,FALSE),IF(VLOOKUP(B158,'aturan_fuzzy (rule)'!$A$2:$E$28,2,FALSE)="Sedang",VLOOKUP(A158,fuzzifikasi!$A:$M,4,FALSE),VLOOKUP(A158,fuzzifikasi!$A:$M,5,FALSE)))</f>
        <v>0.66666666666666663</v>
      </c>
      <c r="E158">
        <f>IF(VLOOKUP(B158,'aturan_fuzzy (rule)'!$A$2:$E$28,3,FALSE)="Rendah",VLOOKUP(A158,fuzzifikasi!$A:$M,7,FALSE),IF(VLOOKUP(B158,'aturan_fuzzy (rule)'!$A$2:$E$28,3,FALSE)="Sedang",VLOOKUP(A158,fuzzifikasi!$A:$M,8,FALSE),VLOOKUP(A158,fuzzifikasi!$A:$M,9,FALSE)))</f>
        <v>0</v>
      </c>
      <c r="F158">
        <f>IF(VLOOKUP(B158,'aturan_fuzzy (rule)'!$A$2:$E$28,4,FALSE)="Rendah",VLOOKUP(A158,fuzzifikasi!$A:$M,11,FALSE),IF(VLOOKUP(B158,'aturan_fuzzy (rule)'!$A$2:$E$28,4,FALSE)="Sedang",VLOOKUP(A158,fuzzifikasi!$A:$M,12,FALSE),VLOOKUP(A158,fuzzifikasi!$A:$M,13,FALSE)))</f>
        <v>0</v>
      </c>
      <c r="G158">
        <f t="shared" si="6"/>
        <v>0</v>
      </c>
      <c r="H158">
        <f t="shared" si="7"/>
        <v>70</v>
      </c>
      <c r="I158">
        <f t="shared" si="8"/>
        <v>0</v>
      </c>
    </row>
    <row r="159" spans="1:9" x14ac:dyDescent="0.3">
      <c r="A159" t="s">
        <v>20</v>
      </c>
      <c r="B159" s="1" t="s">
        <v>60</v>
      </c>
      <c r="C159" s="1" t="s">
        <v>44</v>
      </c>
      <c r="D159">
        <f>IF(VLOOKUP(B159,'aturan_fuzzy (rule)'!$A$2:$E$28,2,FALSE)="Rendah",VLOOKUP(A159,fuzzifikasi!$A:$M,3,FALSE),IF(VLOOKUP(B159,'aturan_fuzzy (rule)'!$A$2:$E$28,2,FALSE)="Sedang",VLOOKUP(A159,fuzzifikasi!$A:$M,4,FALSE),VLOOKUP(A159,fuzzifikasi!$A:$M,5,FALSE)))</f>
        <v>0.66666666666666663</v>
      </c>
      <c r="E159">
        <f>IF(VLOOKUP(B159,'aturan_fuzzy (rule)'!$A$2:$E$28,3,FALSE)="Rendah",VLOOKUP(A159,fuzzifikasi!$A:$M,7,FALSE),IF(VLOOKUP(B159,'aturan_fuzzy (rule)'!$A$2:$E$28,3,FALSE)="Sedang",VLOOKUP(A159,fuzzifikasi!$A:$M,8,FALSE),VLOOKUP(A159,fuzzifikasi!$A:$M,9,FALSE)))</f>
        <v>0</v>
      </c>
      <c r="F159">
        <f>IF(VLOOKUP(B159,'aturan_fuzzy (rule)'!$A$2:$E$28,4,FALSE)="Rendah",VLOOKUP(A159,fuzzifikasi!$A:$M,11,FALSE),IF(VLOOKUP(B159,'aturan_fuzzy (rule)'!$A$2:$E$28,4,FALSE)="Sedang",VLOOKUP(A159,fuzzifikasi!$A:$M,12,FALSE),VLOOKUP(A159,fuzzifikasi!$A:$M,13,FALSE)))</f>
        <v>0</v>
      </c>
      <c r="G159">
        <f t="shared" si="6"/>
        <v>0</v>
      </c>
      <c r="H159">
        <f t="shared" si="7"/>
        <v>70</v>
      </c>
      <c r="I159">
        <f t="shared" si="8"/>
        <v>0</v>
      </c>
    </row>
    <row r="160" spans="1:9" x14ac:dyDescent="0.3">
      <c r="A160" t="s">
        <v>20</v>
      </c>
      <c r="B160" s="1" t="s">
        <v>61</v>
      </c>
      <c r="C160" s="1" t="s">
        <v>52</v>
      </c>
      <c r="D160">
        <f>IF(VLOOKUP(B160,'aturan_fuzzy (rule)'!$A$2:$E$28,2,FALSE)="Rendah",VLOOKUP(A160,fuzzifikasi!$A:$M,3,FALSE),IF(VLOOKUP(B160,'aturan_fuzzy (rule)'!$A$2:$E$28,2,FALSE)="Sedang",VLOOKUP(A160,fuzzifikasi!$A:$M,4,FALSE),VLOOKUP(A160,fuzzifikasi!$A:$M,5,FALSE)))</f>
        <v>0.16666666666666666</v>
      </c>
      <c r="E160">
        <f>IF(VLOOKUP(B160,'aturan_fuzzy (rule)'!$A$2:$E$28,3,FALSE)="Rendah",VLOOKUP(A160,fuzzifikasi!$A:$M,7,FALSE),IF(VLOOKUP(B160,'aturan_fuzzy (rule)'!$A$2:$E$28,3,FALSE)="Sedang",VLOOKUP(A160,fuzzifikasi!$A:$M,8,FALSE),VLOOKUP(A160,fuzzifikasi!$A:$M,9,FALSE)))</f>
        <v>1</v>
      </c>
      <c r="F160">
        <f>IF(VLOOKUP(B160,'aturan_fuzzy (rule)'!$A$2:$E$28,4,FALSE)="Rendah",VLOOKUP(A160,fuzzifikasi!$A:$M,11,FALSE),IF(VLOOKUP(B160,'aturan_fuzzy (rule)'!$A$2:$E$28,4,FALSE)="Sedang",VLOOKUP(A160,fuzzifikasi!$A:$M,12,FALSE),VLOOKUP(A160,fuzzifikasi!$A:$M,13,FALSE)))</f>
        <v>1</v>
      </c>
      <c r="G160">
        <f t="shared" si="6"/>
        <v>0.16666666666666666</v>
      </c>
      <c r="H160">
        <f t="shared" si="7"/>
        <v>33.333333333333336</v>
      </c>
      <c r="I160">
        <f t="shared" si="8"/>
        <v>5.5555555555555554</v>
      </c>
    </row>
    <row r="161" spans="1:9" x14ac:dyDescent="0.3">
      <c r="A161" t="s">
        <v>20</v>
      </c>
      <c r="B161" s="1" t="s">
        <v>62</v>
      </c>
      <c r="C161" s="1" t="s">
        <v>52</v>
      </c>
      <c r="D161">
        <f>IF(VLOOKUP(B161,'aturan_fuzzy (rule)'!$A$2:$E$28,2,FALSE)="Rendah",VLOOKUP(A161,fuzzifikasi!$A:$M,3,FALSE),IF(VLOOKUP(B161,'aturan_fuzzy (rule)'!$A$2:$E$28,2,FALSE)="Sedang",VLOOKUP(A161,fuzzifikasi!$A:$M,4,FALSE),VLOOKUP(A161,fuzzifikasi!$A:$M,5,FALSE)))</f>
        <v>0.16666666666666666</v>
      </c>
      <c r="E161">
        <f>IF(VLOOKUP(B161,'aturan_fuzzy (rule)'!$A$2:$E$28,3,FALSE)="Rendah",VLOOKUP(A161,fuzzifikasi!$A:$M,7,FALSE),IF(VLOOKUP(B161,'aturan_fuzzy (rule)'!$A$2:$E$28,3,FALSE)="Sedang",VLOOKUP(A161,fuzzifikasi!$A:$M,8,FALSE),VLOOKUP(A161,fuzzifikasi!$A:$M,9,FALSE)))</f>
        <v>1</v>
      </c>
      <c r="F161">
        <f>IF(VLOOKUP(B161,'aturan_fuzzy (rule)'!$A$2:$E$28,4,FALSE)="Rendah",VLOOKUP(A161,fuzzifikasi!$A:$M,11,FALSE),IF(VLOOKUP(B161,'aturan_fuzzy (rule)'!$A$2:$E$28,4,FALSE)="Sedang",VLOOKUP(A161,fuzzifikasi!$A:$M,12,FALSE),VLOOKUP(A161,fuzzifikasi!$A:$M,13,FALSE)))</f>
        <v>0</v>
      </c>
      <c r="G161">
        <f t="shared" si="6"/>
        <v>0</v>
      </c>
      <c r="H161">
        <f t="shared" si="7"/>
        <v>40</v>
      </c>
      <c r="I161">
        <f t="shared" si="8"/>
        <v>0</v>
      </c>
    </row>
    <row r="162" spans="1:9" x14ac:dyDescent="0.3">
      <c r="A162" t="s">
        <v>20</v>
      </c>
      <c r="B162" s="1" t="s">
        <v>63</v>
      </c>
      <c r="C162" s="1" t="s">
        <v>41</v>
      </c>
      <c r="D162">
        <f>IF(VLOOKUP(B162,'aturan_fuzzy (rule)'!$A$2:$E$28,2,FALSE)="Rendah",VLOOKUP(A162,fuzzifikasi!$A:$M,3,FALSE),IF(VLOOKUP(B162,'aturan_fuzzy (rule)'!$A$2:$E$28,2,FALSE)="Sedang",VLOOKUP(A162,fuzzifikasi!$A:$M,4,FALSE),VLOOKUP(A162,fuzzifikasi!$A:$M,5,FALSE)))</f>
        <v>0.16666666666666666</v>
      </c>
      <c r="E162">
        <f>IF(VLOOKUP(B162,'aturan_fuzzy (rule)'!$A$2:$E$28,3,FALSE)="Rendah",VLOOKUP(A162,fuzzifikasi!$A:$M,7,FALSE),IF(VLOOKUP(B162,'aturan_fuzzy (rule)'!$A$2:$E$28,3,FALSE)="Sedang",VLOOKUP(A162,fuzzifikasi!$A:$M,8,FALSE),VLOOKUP(A162,fuzzifikasi!$A:$M,9,FALSE)))</f>
        <v>1</v>
      </c>
      <c r="F162">
        <f>IF(VLOOKUP(B162,'aturan_fuzzy (rule)'!$A$2:$E$28,4,FALSE)="Rendah",VLOOKUP(A162,fuzzifikasi!$A:$M,11,FALSE),IF(VLOOKUP(B162,'aturan_fuzzy (rule)'!$A$2:$E$28,4,FALSE)="Sedang",VLOOKUP(A162,fuzzifikasi!$A:$M,12,FALSE),VLOOKUP(A162,fuzzifikasi!$A:$M,13,FALSE)))</f>
        <v>0</v>
      </c>
      <c r="G162">
        <f t="shared" si="6"/>
        <v>0</v>
      </c>
      <c r="H162">
        <f t="shared" si="7"/>
        <v>40</v>
      </c>
      <c r="I162">
        <f t="shared" si="8"/>
        <v>0</v>
      </c>
    </row>
    <row r="163" spans="1:9" x14ac:dyDescent="0.3">
      <c r="A163" t="s">
        <v>20</v>
      </c>
      <c r="B163" s="1" t="s">
        <v>64</v>
      </c>
      <c r="C163" s="1" t="s">
        <v>52</v>
      </c>
      <c r="D163">
        <f>IF(VLOOKUP(B163,'aturan_fuzzy (rule)'!$A$2:$E$28,2,FALSE)="Rendah",VLOOKUP(A163,fuzzifikasi!$A:$M,3,FALSE),IF(VLOOKUP(B163,'aturan_fuzzy (rule)'!$A$2:$E$28,2,FALSE)="Sedang",VLOOKUP(A163,fuzzifikasi!$A:$M,4,FALSE),VLOOKUP(A163,fuzzifikasi!$A:$M,5,FALSE)))</f>
        <v>0.16666666666666666</v>
      </c>
      <c r="E163">
        <f>IF(VLOOKUP(B163,'aturan_fuzzy (rule)'!$A$2:$E$28,3,FALSE)="Rendah",VLOOKUP(A163,fuzzifikasi!$A:$M,7,FALSE),IF(VLOOKUP(B163,'aturan_fuzzy (rule)'!$A$2:$E$28,3,FALSE)="Sedang",VLOOKUP(A163,fuzzifikasi!$A:$M,8,FALSE),VLOOKUP(A163,fuzzifikasi!$A:$M,9,FALSE)))</f>
        <v>0</v>
      </c>
      <c r="F163">
        <f>IF(VLOOKUP(B163,'aturan_fuzzy (rule)'!$A$2:$E$28,4,FALSE)="Rendah",VLOOKUP(A163,fuzzifikasi!$A:$M,11,FALSE),IF(VLOOKUP(B163,'aturan_fuzzy (rule)'!$A$2:$E$28,4,FALSE)="Sedang",VLOOKUP(A163,fuzzifikasi!$A:$M,12,FALSE),VLOOKUP(A163,fuzzifikasi!$A:$M,13,FALSE)))</f>
        <v>1</v>
      </c>
      <c r="G163">
        <f t="shared" si="6"/>
        <v>0</v>
      </c>
      <c r="H163">
        <f t="shared" si="7"/>
        <v>40</v>
      </c>
      <c r="I163">
        <f t="shared" si="8"/>
        <v>0</v>
      </c>
    </row>
    <row r="164" spans="1:9" x14ac:dyDescent="0.3">
      <c r="A164" t="s">
        <v>20</v>
      </c>
      <c r="B164" s="1" t="s">
        <v>65</v>
      </c>
      <c r="C164" s="1" t="s">
        <v>41</v>
      </c>
      <c r="D164">
        <f>IF(VLOOKUP(B164,'aturan_fuzzy (rule)'!$A$2:$E$28,2,FALSE)="Rendah",VLOOKUP(A164,fuzzifikasi!$A:$M,3,FALSE),IF(VLOOKUP(B164,'aturan_fuzzy (rule)'!$A$2:$E$28,2,FALSE)="Sedang",VLOOKUP(A164,fuzzifikasi!$A:$M,4,FALSE),VLOOKUP(A164,fuzzifikasi!$A:$M,5,FALSE)))</f>
        <v>0.16666666666666666</v>
      </c>
      <c r="E164">
        <f>IF(VLOOKUP(B164,'aturan_fuzzy (rule)'!$A$2:$E$28,3,FALSE)="Rendah",VLOOKUP(A164,fuzzifikasi!$A:$M,7,FALSE),IF(VLOOKUP(B164,'aturan_fuzzy (rule)'!$A$2:$E$28,3,FALSE)="Sedang",VLOOKUP(A164,fuzzifikasi!$A:$M,8,FALSE),VLOOKUP(A164,fuzzifikasi!$A:$M,9,FALSE)))</f>
        <v>0</v>
      </c>
      <c r="F164">
        <f>IF(VLOOKUP(B164,'aturan_fuzzy (rule)'!$A$2:$E$28,4,FALSE)="Rendah",VLOOKUP(A164,fuzzifikasi!$A:$M,11,FALSE),IF(VLOOKUP(B164,'aturan_fuzzy (rule)'!$A$2:$E$28,4,FALSE)="Sedang",VLOOKUP(A164,fuzzifikasi!$A:$M,12,FALSE),VLOOKUP(A164,fuzzifikasi!$A:$M,13,FALSE)))</f>
        <v>0</v>
      </c>
      <c r="G164">
        <f t="shared" si="6"/>
        <v>0</v>
      </c>
      <c r="H164">
        <f t="shared" si="7"/>
        <v>40</v>
      </c>
      <c r="I164">
        <f t="shared" si="8"/>
        <v>0</v>
      </c>
    </row>
    <row r="165" spans="1:9" x14ac:dyDescent="0.3">
      <c r="A165" t="s">
        <v>20</v>
      </c>
      <c r="B165" s="1" t="s">
        <v>66</v>
      </c>
      <c r="C165" s="1" t="s">
        <v>41</v>
      </c>
      <c r="D165">
        <f>IF(VLOOKUP(B165,'aturan_fuzzy (rule)'!$A$2:$E$28,2,FALSE)="Rendah",VLOOKUP(A165,fuzzifikasi!$A:$M,3,FALSE),IF(VLOOKUP(B165,'aturan_fuzzy (rule)'!$A$2:$E$28,2,FALSE)="Sedang",VLOOKUP(A165,fuzzifikasi!$A:$M,4,FALSE),VLOOKUP(A165,fuzzifikasi!$A:$M,5,FALSE)))</f>
        <v>0.16666666666666666</v>
      </c>
      <c r="E165">
        <f>IF(VLOOKUP(B165,'aturan_fuzzy (rule)'!$A$2:$E$28,3,FALSE)="Rendah",VLOOKUP(A165,fuzzifikasi!$A:$M,7,FALSE),IF(VLOOKUP(B165,'aturan_fuzzy (rule)'!$A$2:$E$28,3,FALSE)="Sedang",VLOOKUP(A165,fuzzifikasi!$A:$M,8,FALSE),VLOOKUP(A165,fuzzifikasi!$A:$M,9,FALSE)))</f>
        <v>0</v>
      </c>
      <c r="F165">
        <f>IF(VLOOKUP(B165,'aturan_fuzzy (rule)'!$A$2:$E$28,4,FALSE)="Rendah",VLOOKUP(A165,fuzzifikasi!$A:$M,11,FALSE),IF(VLOOKUP(B165,'aturan_fuzzy (rule)'!$A$2:$E$28,4,FALSE)="Sedang",VLOOKUP(A165,fuzzifikasi!$A:$M,12,FALSE),VLOOKUP(A165,fuzzifikasi!$A:$M,13,FALSE)))</f>
        <v>0</v>
      </c>
      <c r="G165">
        <f t="shared" si="6"/>
        <v>0</v>
      </c>
      <c r="H165">
        <f t="shared" si="7"/>
        <v>40</v>
      </c>
      <c r="I165">
        <f t="shared" si="8"/>
        <v>0</v>
      </c>
    </row>
    <row r="166" spans="1:9" x14ac:dyDescent="0.3">
      <c r="A166" t="s">
        <v>20</v>
      </c>
      <c r="B166" s="1" t="s">
        <v>67</v>
      </c>
      <c r="C166" s="1" t="s">
        <v>41</v>
      </c>
      <c r="D166">
        <f>IF(VLOOKUP(B166,'aturan_fuzzy (rule)'!$A$2:$E$28,2,FALSE)="Rendah",VLOOKUP(A166,fuzzifikasi!$A:$M,3,FALSE),IF(VLOOKUP(B166,'aturan_fuzzy (rule)'!$A$2:$E$28,2,FALSE)="Sedang",VLOOKUP(A166,fuzzifikasi!$A:$M,4,FALSE),VLOOKUP(A166,fuzzifikasi!$A:$M,5,FALSE)))</f>
        <v>0.16666666666666666</v>
      </c>
      <c r="E166">
        <f>IF(VLOOKUP(B166,'aturan_fuzzy (rule)'!$A$2:$E$28,3,FALSE)="Rendah",VLOOKUP(A166,fuzzifikasi!$A:$M,7,FALSE),IF(VLOOKUP(B166,'aturan_fuzzy (rule)'!$A$2:$E$28,3,FALSE)="Sedang",VLOOKUP(A166,fuzzifikasi!$A:$M,8,FALSE),VLOOKUP(A166,fuzzifikasi!$A:$M,9,FALSE)))</f>
        <v>0</v>
      </c>
      <c r="F166">
        <f>IF(VLOOKUP(B166,'aturan_fuzzy (rule)'!$A$2:$E$28,4,FALSE)="Rendah",VLOOKUP(A166,fuzzifikasi!$A:$M,11,FALSE),IF(VLOOKUP(B166,'aturan_fuzzy (rule)'!$A$2:$E$28,4,FALSE)="Sedang",VLOOKUP(A166,fuzzifikasi!$A:$M,12,FALSE),VLOOKUP(A166,fuzzifikasi!$A:$M,13,FALSE)))</f>
        <v>1</v>
      </c>
      <c r="G166">
        <f t="shared" si="6"/>
        <v>0</v>
      </c>
      <c r="H166">
        <f t="shared" si="7"/>
        <v>40</v>
      </c>
      <c r="I166">
        <f t="shared" si="8"/>
        <v>0</v>
      </c>
    </row>
    <row r="167" spans="1:9" x14ac:dyDescent="0.3">
      <c r="A167" t="s">
        <v>20</v>
      </c>
      <c r="B167" s="1" t="s">
        <v>68</v>
      </c>
      <c r="C167" s="1" t="s">
        <v>41</v>
      </c>
      <c r="D167">
        <f>IF(VLOOKUP(B167,'aturan_fuzzy (rule)'!$A$2:$E$28,2,FALSE)="Rendah",VLOOKUP(A167,fuzzifikasi!$A:$M,3,FALSE),IF(VLOOKUP(B167,'aturan_fuzzy (rule)'!$A$2:$E$28,2,FALSE)="Sedang",VLOOKUP(A167,fuzzifikasi!$A:$M,4,FALSE),VLOOKUP(A167,fuzzifikasi!$A:$M,5,FALSE)))</f>
        <v>0.16666666666666666</v>
      </c>
      <c r="E167">
        <f>IF(VLOOKUP(B167,'aturan_fuzzy (rule)'!$A$2:$E$28,3,FALSE)="Rendah",VLOOKUP(A167,fuzzifikasi!$A:$M,7,FALSE),IF(VLOOKUP(B167,'aturan_fuzzy (rule)'!$A$2:$E$28,3,FALSE)="Sedang",VLOOKUP(A167,fuzzifikasi!$A:$M,8,FALSE),VLOOKUP(A167,fuzzifikasi!$A:$M,9,FALSE)))</f>
        <v>0</v>
      </c>
      <c r="F167">
        <f>IF(VLOOKUP(B167,'aturan_fuzzy (rule)'!$A$2:$E$28,4,FALSE)="Rendah",VLOOKUP(A167,fuzzifikasi!$A:$M,11,FALSE),IF(VLOOKUP(B167,'aturan_fuzzy (rule)'!$A$2:$E$28,4,FALSE)="Sedang",VLOOKUP(A167,fuzzifikasi!$A:$M,12,FALSE),VLOOKUP(A167,fuzzifikasi!$A:$M,13,FALSE)))</f>
        <v>0</v>
      </c>
      <c r="G167">
        <f t="shared" si="6"/>
        <v>0</v>
      </c>
      <c r="H167">
        <f t="shared" si="7"/>
        <v>40</v>
      </c>
      <c r="I167">
        <f t="shared" si="8"/>
        <v>0</v>
      </c>
    </row>
    <row r="168" spans="1:9" x14ac:dyDescent="0.3">
      <c r="A168" t="s">
        <v>20</v>
      </c>
      <c r="B168" s="1" t="s">
        <v>69</v>
      </c>
      <c r="C168" s="1" t="s">
        <v>44</v>
      </c>
      <c r="D168">
        <f>IF(VLOOKUP(B168,'aturan_fuzzy (rule)'!$A$2:$E$28,2,FALSE)="Rendah",VLOOKUP(A168,fuzzifikasi!$A:$M,3,FALSE),IF(VLOOKUP(B168,'aturan_fuzzy (rule)'!$A$2:$E$28,2,FALSE)="Sedang",VLOOKUP(A168,fuzzifikasi!$A:$M,4,FALSE),VLOOKUP(A168,fuzzifikasi!$A:$M,5,FALSE)))</f>
        <v>0.16666666666666666</v>
      </c>
      <c r="E168">
        <f>IF(VLOOKUP(B168,'aturan_fuzzy (rule)'!$A$2:$E$28,3,FALSE)="Rendah",VLOOKUP(A168,fuzzifikasi!$A:$M,7,FALSE),IF(VLOOKUP(B168,'aturan_fuzzy (rule)'!$A$2:$E$28,3,FALSE)="Sedang",VLOOKUP(A168,fuzzifikasi!$A:$M,8,FALSE),VLOOKUP(A168,fuzzifikasi!$A:$M,9,FALSE)))</f>
        <v>0</v>
      </c>
      <c r="F168">
        <f>IF(VLOOKUP(B168,'aturan_fuzzy (rule)'!$A$2:$E$28,4,FALSE)="Rendah",VLOOKUP(A168,fuzzifikasi!$A:$M,11,FALSE),IF(VLOOKUP(B168,'aturan_fuzzy (rule)'!$A$2:$E$28,4,FALSE)="Sedang",VLOOKUP(A168,fuzzifikasi!$A:$M,12,FALSE),VLOOKUP(A168,fuzzifikasi!$A:$M,13,FALSE)))</f>
        <v>0</v>
      </c>
      <c r="G168">
        <f t="shared" si="6"/>
        <v>0</v>
      </c>
      <c r="H168">
        <f t="shared" si="7"/>
        <v>70</v>
      </c>
      <c r="I168">
        <f t="shared" si="8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FB6DD-D566-44D3-A7C7-E886E510ABD2}">
  <dimension ref="A1:E7"/>
  <sheetViews>
    <sheetView workbookViewId="0">
      <selection activeCell="J12" sqref="J12"/>
    </sheetView>
  </sheetViews>
  <sheetFormatPr defaultRowHeight="14.4" x14ac:dyDescent="0.3"/>
  <cols>
    <col min="2" max="2" width="11.5546875" customWidth="1"/>
    <col min="3" max="3" width="14.33203125" customWidth="1"/>
    <col min="4" max="4" width="9.77734375" customWidth="1"/>
    <col min="5" max="5" width="14" customWidth="1"/>
  </cols>
  <sheetData>
    <row r="1" spans="1:5" x14ac:dyDescent="0.3">
      <c r="A1" t="s">
        <v>30</v>
      </c>
      <c r="B1" t="s">
        <v>70</v>
      </c>
      <c r="C1" t="s">
        <v>71</v>
      </c>
      <c r="D1" t="s">
        <v>72</v>
      </c>
      <c r="E1" t="s">
        <v>73</v>
      </c>
    </row>
    <row r="2" spans="1:5" x14ac:dyDescent="0.3">
      <c r="A2" t="s">
        <v>15</v>
      </c>
      <c r="B2">
        <f>SUMIF('rule_evaluation (inferensi)'!A:A, A2, 'rule_evaluation (inferensi)'!G:G)</f>
        <v>0.83333333333333326</v>
      </c>
      <c r="C2">
        <f>SUMIF('rule_evaluation (inferensi)'!A:A, A2, 'rule_evaluation (inferensi)'!I:I)</f>
        <v>72.5</v>
      </c>
      <c r="D2">
        <f>IF(B2=0, 0, C2/B2)</f>
        <v>87.000000000000014</v>
      </c>
      <c r="E2" t="str">
        <f>IF(D2&gt;=70, "Low Risk", IF(D2&gt;=40, "Medium Risk", "High Risk"))</f>
        <v>Low Risk</v>
      </c>
    </row>
    <row r="3" spans="1:5" x14ac:dyDescent="0.3">
      <c r="A3" t="s">
        <v>16</v>
      </c>
      <c r="B3">
        <f>SUMIF('rule_evaluation (inferensi)'!A:A, A3, 'rule_evaluation (inferensi)'!G:G)</f>
        <v>1</v>
      </c>
      <c r="C3">
        <f>SUMIF('rule_evaluation (inferensi)'!A:A, A3, 'rule_evaluation (inferensi)'!I:I)</f>
        <v>100</v>
      </c>
      <c r="D3">
        <f t="shared" ref="D3:D7" si="0">IF(B3=0, 0, C3/B3)</f>
        <v>100</v>
      </c>
      <c r="E3" t="str">
        <f t="shared" ref="E3:E7" si="1">IF(D3&gt;=70, "Low Risk", IF(D3&gt;=40, "Medium Risk", "High Risk"))</f>
        <v>Low Risk</v>
      </c>
    </row>
    <row r="4" spans="1:5" x14ac:dyDescent="0.3">
      <c r="A4" t="s">
        <v>17</v>
      </c>
      <c r="B4">
        <f>SUMIF('rule_evaluation (inferensi)'!A:A, A4, 'rule_evaluation (inferensi)'!G:G)</f>
        <v>1.23</v>
      </c>
      <c r="C4">
        <f>SUMIF('rule_evaluation (inferensi)'!A:A, A4, 'rule_evaluation (inferensi)'!I:I)</f>
        <v>76.660166666666669</v>
      </c>
      <c r="D4">
        <f t="shared" si="0"/>
        <v>62.325338753387534</v>
      </c>
      <c r="E4" t="str">
        <f t="shared" si="1"/>
        <v>Medium Risk</v>
      </c>
    </row>
    <row r="5" spans="1:5" x14ac:dyDescent="0.3">
      <c r="A5" t="s">
        <v>18</v>
      </c>
      <c r="B5">
        <f>SUMIF('rule_evaluation (inferensi)'!A:A, A5, 'rule_evaluation (inferensi)'!G:G)</f>
        <v>0.69307400000000008</v>
      </c>
      <c r="C5">
        <f>SUMIF('rule_evaluation (inferensi)'!A:A, A5, 'rule_evaluation (inferensi)'!I:I)</f>
        <v>53.089872141080001</v>
      </c>
      <c r="D5">
        <f t="shared" si="0"/>
        <v>76.600582536756534</v>
      </c>
      <c r="E5" t="str">
        <f t="shared" si="1"/>
        <v>Low Risk</v>
      </c>
    </row>
    <row r="6" spans="1:5" x14ac:dyDescent="0.3">
      <c r="A6" t="s">
        <v>19</v>
      </c>
      <c r="B6">
        <f>SUMIF('rule_evaluation (inferensi)'!A:A, A6, 'rule_evaluation (inferensi)'!G:G)</f>
        <v>1.1726666666666667</v>
      </c>
      <c r="C6">
        <f>SUMIF('rule_evaluation (inferensi)'!A:A, A6, 'rule_evaluation (inferensi)'!I:I)</f>
        <v>84.744143199999996</v>
      </c>
      <c r="D6">
        <f t="shared" si="0"/>
        <v>72.266182376350187</v>
      </c>
      <c r="E6" t="str">
        <f t="shared" si="1"/>
        <v>Low Risk</v>
      </c>
    </row>
    <row r="7" spans="1:5" x14ac:dyDescent="0.3">
      <c r="A7" t="s">
        <v>20</v>
      </c>
      <c r="B7">
        <f>SUMIF('rule_evaluation (inferensi)'!A:A, A7, 'rule_evaluation (inferensi)'!G:G)</f>
        <v>0.83333333333333326</v>
      </c>
      <c r="C7">
        <f>SUMIF('rule_evaluation (inferensi)'!A:A, A7, 'rule_evaluation (inferensi)'!I:I)</f>
        <v>14.444444444444445</v>
      </c>
      <c r="D7">
        <f t="shared" si="0"/>
        <v>17.333333333333336</v>
      </c>
      <c r="E7" t="str">
        <f t="shared" si="1"/>
        <v>High Risk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parameter_fuzzy</vt:lpstr>
      <vt:lpstr>aturan_fuzzy (rule)</vt:lpstr>
      <vt:lpstr>data_input</vt:lpstr>
      <vt:lpstr>fuzzifikasi</vt:lpstr>
      <vt:lpstr>rule_evaluation (inferensi)</vt:lpstr>
      <vt:lpstr>hasil_final (defuzzifikasi)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Puan Maharani</cp:lastModifiedBy>
  <dcterms:created xsi:type="dcterms:W3CDTF">2025-10-31T02:34:59Z</dcterms:created>
  <dcterms:modified xsi:type="dcterms:W3CDTF">2025-12-25T13:57:31Z</dcterms:modified>
</cp:coreProperties>
</file>