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62965600-FFCC-45A8-AF36-1181CBC921FB}" xr6:coauthVersionLast="45" xr6:coauthVersionMax="45" xr10:uidLastSave="{00000000-0000-0000-0000-000000000000}"/>
  <bookViews>
    <workbookView xWindow="-120" yWindow="-120" windowWidth="29040" windowHeight="15720" activeTab="4" xr2:uid="{00000000-000D-0000-FFFF-FFFF00000000}"/>
  </bookViews>
  <sheets>
    <sheet name="parameter_fuzzy" sheetId="1" r:id="rId1"/>
    <sheet name="aturan_fuzzy" sheetId="2" r:id="rId2"/>
    <sheet name="data_input" sheetId="3" r:id="rId3"/>
    <sheet name="fuzzifikasi" sheetId="4" r:id="rId4"/>
    <sheet name="rule_evaluation" sheetId="5" r:id="rId5"/>
    <sheet name="hasil_final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L11" i="5" s="1"/>
  <c r="K12" i="5"/>
  <c r="L12" i="5" s="1"/>
  <c r="K13" i="5"/>
  <c r="L13" i="5" s="1"/>
  <c r="K14" i="5"/>
  <c r="L14" i="5" s="1"/>
  <c r="K15" i="5"/>
  <c r="L15" i="5" s="1"/>
  <c r="K16" i="5"/>
  <c r="K17" i="5"/>
  <c r="K18" i="5"/>
  <c r="L18" i="5" s="1"/>
  <c r="K19" i="5"/>
  <c r="K20" i="5"/>
  <c r="K21" i="5"/>
  <c r="K22" i="5"/>
  <c r="K23" i="5"/>
  <c r="K24" i="5"/>
  <c r="K25" i="5"/>
  <c r="K26" i="5"/>
  <c r="L26" i="5" s="1"/>
  <c r="K27" i="5"/>
  <c r="L27" i="5" s="1"/>
  <c r="K28" i="5"/>
  <c r="L28" i="5" s="1"/>
  <c r="K29" i="5"/>
  <c r="L29" i="5" s="1"/>
  <c r="K30" i="5"/>
  <c r="L30" i="5" s="1"/>
  <c r="K31" i="5"/>
  <c r="L31" i="5" s="1"/>
  <c r="K32" i="5"/>
  <c r="K33" i="5"/>
  <c r="K34" i="5"/>
  <c r="L34" i="5" s="1"/>
  <c r="K35" i="5"/>
  <c r="K36" i="5"/>
  <c r="K37" i="5"/>
  <c r="K2" i="5"/>
  <c r="L10" i="5"/>
  <c r="L9" i="5"/>
  <c r="L8" i="5"/>
  <c r="L37" i="5"/>
  <c r="L36" i="5"/>
  <c r="L35" i="5"/>
  <c r="L33" i="5"/>
  <c r="L32" i="5"/>
  <c r="L25" i="5"/>
  <c r="L24" i="5"/>
  <c r="L23" i="5"/>
  <c r="L22" i="5"/>
  <c r="L21" i="5"/>
  <c r="L20" i="5"/>
  <c r="L19" i="5"/>
  <c r="L17" i="5"/>
  <c r="L16" i="5"/>
  <c r="C2" i="4"/>
  <c r="J2" i="5"/>
  <c r="L6" i="5"/>
  <c r="L5" i="5"/>
  <c r="L4" i="5"/>
  <c r="L3" i="5"/>
  <c r="L2" i="5" l="1"/>
  <c r="D4" i="6"/>
  <c r="E4" i="6" s="1"/>
  <c r="D5" i="6"/>
  <c r="E5" i="6" s="1"/>
  <c r="M7" i="4"/>
  <c r="I32" i="5" s="1"/>
  <c r="L7" i="4"/>
  <c r="I34" i="5" s="1"/>
  <c r="K7" i="4"/>
  <c r="I35" i="5" s="1"/>
  <c r="J7" i="4"/>
  <c r="I7" i="4"/>
  <c r="G32" i="5" s="1"/>
  <c r="H7" i="4"/>
  <c r="G37" i="5" s="1"/>
  <c r="G7" i="4"/>
  <c r="G35" i="5" s="1"/>
  <c r="F7" i="4"/>
  <c r="E7" i="4"/>
  <c r="E35" i="5" s="1"/>
  <c r="D7" i="4"/>
  <c r="C7" i="4"/>
  <c r="B7" i="4"/>
  <c r="A7" i="4"/>
  <c r="A35" i="5" s="1"/>
  <c r="M6" i="4"/>
  <c r="I27" i="5" s="1"/>
  <c r="L6" i="4"/>
  <c r="I28" i="5" s="1"/>
  <c r="K6" i="4"/>
  <c r="I29" i="5" s="1"/>
  <c r="J6" i="4"/>
  <c r="I6" i="4"/>
  <c r="G27" i="5" s="1"/>
  <c r="H6" i="4"/>
  <c r="G31" i="5" s="1"/>
  <c r="G6" i="4"/>
  <c r="G29" i="5" s="1"/>
  <c r="F6" i="4"/>
  <c r="E6" i="4"/>
  <c r="E30" i="5" s="1"/>
  <c r="D6" i="4"/>
  <c r="E27" i="5" s="1"/>
  <c r="C6" i="4"/>
  <c r="B6" i="4"/>
  <c r="A6" i="4"/>
  <c r="A30" i="5" s="1"/>
  <c r="M5" i="4"/>
  <c r="I21" i="5" s="1"/>
  <c r="L5" i="4"/>
  <c r="I24" i="5" s="1"/>
  <c r="K5" i="4"/>
  <c r="I23" i="5" s="1"/>
  <c r="J5" i="4"/>
  <c r="I5" i="4"/>
  <c r="G21" i="5" s="1"/>
  <c r="H5" i="4"/>
  <c r="G24" i="5" s="1"/>
  <c r="G5" i="4"/>
  <c r="G23" i="5" s="1"/>
  <c r="F5" i="4"/>
  <c r="E5" i="4"/>
  <c r="D5" i="4"/>
  <c r="E22" i="5" s="1"/>
  <c r="C5" i="4"/>
  <c r="B5" i="4"/>
  <c r="A5" i="4"/>
  <c r="A22" i="5" s="1"/>
  <c r="M4" i="4"/>
  <c r="I19" i="5" s="1"/>
  <c r="L4" i="4"/>
  <c r="I16" i="5" s="1"/>
  <c r="K4" i="4"/>
  <c r="I17" i="5" s="1"/>
  <c r="J4" i="4"/>
  <c r="I4" i="4"/>
  <c r="G15" i="5" s="1"/>
  <c r="H4" i="4"/>
  <c r="G19" i="5" s="1"/>
  <c r="G4" i="4"/>
  <c r="G17" i="5" s="1"/>
  <c r="F4" i="4"/>
  <c r="E4" i="4"/>
  <c r="D4" i="4"/>
  <c r="C4" i="4"/>
  <c r="E14" i="5" s="1"/>
  <c r="B4" i="4"/>
  <c r="A4" i="4"/>
  <c r="A14" i="5" s="1"/>
  <c r="A4" i="6" s="1"/>
  <c r="M3" i="4"/>
  <c r="I8" i="5" s="1"/>
  <c r="L3" i="4"/>
  <c r="I10" i="5" s="1"/>
  <c r="K3" i="4"/>
  <c r="I11" i="5" s="1"/>
  <c r="J3" i="4"/>
  <c r="I3" i="4"/>
  <c r="G8" i="5" s="1"/>
  <c r="H3" i="4"/>
  <c r="G13" i="5" s="1"/>
  <c r="G3" i="4"/>
  <c r="G11" i="5" s="1"/>
  <c r="F3" i="4"/>
  <c r="E3" i="4"/>
  <c r="E11" i="5" s="1"/>
  <c r="D3" i="4"/>
  <c r="C3" i="4"/>
  <c r="B3" i="4"/>
  <c r="A3" i="4"/>
  <c r="A11" i="5" s="1"/>
  <c r="M2" i="4"/>
  <c r="I3" i="5" s="1"/>
  <c r="L2" i="4"/>
  <c r="I4" i="5" s="1"/>
  <c r="K2" i="4"/>
  <c r="I5" i="5" s="1"/>
  <c r="J2" i="4"/>
  <c r="I2" i="4"/>
  <c r="G3" i="5" s="1"/>
  <c r="H2" i="4"/>
  <c r="G7" i="5" s="1"/>
  <c r="G2" i="4"/>
  <c r="G5" i="5" s="1"/>
  <c r="F2" i="4"/>
  <c r="E2" i="4"/>
  <c r="E6" i="5" s="1"/>
  <c r="D2" i="4"/>
  <c r="E3" i="5" s="1"/>
  <c r="B2" i="4"/>
  <c r="A2" i="4"/>
  <c r="A6" i="5" s="1"/>
  <c r="J3" i="5" l="1"/>
  <c r="G6" i="5"/>
  <c r="A9" i="5"/>
  <c r="J11" i="5"/>
  <c r="G14" i="5"/>
  <c r="A17" i="5"/>
  <c r="J19" i="5"/>
  <c r="G22" i="5"/>
  <c r="A25" i="5"/>
  <c r="J27" i="5"/>
  <c r="G30" i="5"/>
  <c r="A33" i="5"/>
  <c r="J35" i="5"/>
  <c r="I6" i="5"/>
  <c r="E9" i="5"/>
  <c r="I14" i="5"/>
  <c r="E17" i="5"/>
  <c r="I22" i="5"/>
  <c r="E25" i="5"/>
  <c r="C6" i="6"/>
  <c r="D6" i="6" s="1"/>
  <c r="E6" i="6" s="1"/>
  <c r="I30" i="5"/>
  <c r="E33" i="5"/>
  <c r="A4" i="5"/>
  <c r="J6" i="5"/>
  <c r="G9" i="5"/>
  <c r="A12" i="5"/>
  <c r="J14" i="5"/>
  <c r="A20" i="5"/>
  <c r="A5" i="6" s="1"/>
  <c r="J22" i="5"/>
  <c r="G25" i="5"/>
  <c r="A28" i="5"/>
  <c r="J30" i="5"/>
  <c r="G33" i="5"/>
  <c r="A36" i="5"/>
  <c r="E4" i="5"/>
  <c r="I9" i="5"/>
  <c r="E12" i="5"/>
  <c r="C4" i="6"/>
  <c r="E20" i="5"/>
  <c r="I25" i="5"/>
  <c r="E28" i="5"/>
  <c r="I33" i="5"/>
  <c r="E36" i="5"/>
  <c r="G4" i="5"/>
  <c r="A7" i="5"/>
  <c r="J9" i="5"/>
  <c r="G12" i="5"/>
  <c r="A15" i="5"/>
  <c r="J17" i="5"/>
  <c r="G20" i="5"/>
  <c r="A23" i="5"/>
  <c r="J25" i="5"/>
  <c r="G28" i="5"/>
  <c r="A31" i="5"/>
  <c r="J33" i="5"/>
  <c r="G36" i="5"/>
  <c r="E7" i="5"/>
  <c r="C3" i="6"/>
  <c r="D3" i="6" s="1"/>
  <c r="E3" i="6" s="1"/>
  <c r="I12" i="5"/>
  <c r="E15" i="5"/>
  <c r="I20" i="5"/>
  <c r="E23" i="5"/>
  <c r="E31" i="5"/>
  <c r="C7" i="6"/>
  <c r="D7" i="6" s="1"/>
  <c r="E7" i="6" s="1"/>
  <c r="I36" i="5"/>
  <c r="A2" i="5"/>
  <c r="A2" i="6" s="1"/>
  <c r="J4" i="5"/>
  <c r="A10" i="5"/>
  <c r="J12" i="5"/>
  <c r="A18" i="5"/>
  <c r="J20" i="5"/>
  <c r="A26" i="5"/>
  <c r="A6" i="6" s="1"/>
  <c r="J28" i="5"/>
  <c r="A34" i="5"/>
  <c r="J36" i="5"/>
  <c r="E2" i="5"/>
  <c r="I7" i="5"/>
  <c r="E10" i="5"/>
  <c r="I15" i="5"/>
  <c r="E18" i="5"/>
  <c r="E26" i="5"/>
  <c r="I31" i="5"/>
  <c r="E34" i="5"/>
  <c r="G2" i="5"/>
  <c r="A5" i="5"/>
  <c r="J7" i="5"/>
  <c r="G10" i="5"/>
  <c r="A13" i="5"/>
  <c r="J15" i="5"/>
  <c r="G18" i="5"/>
  <c r="A21" i="5"/>
  <c r="J23" i="5"/>
  <c r="G26" i="5"/>
  <c r="A29" i="5"/>
  <c r="J31" i="5"/>
  <c r="G34" i="5"/>
  <c r="A37" i="5"/>
  <c r="I2" i="5"/>
  <c r="E5" i="5"/>
  <c r="E13" i="5"/>
  <c r="I18" i="5"/>
  <c r="E21" i="5"/>
  <c r="I26" i="5"/>
  <c r="E29" i="5"/>
  <c r="E37" i="5"/>
  <c r="A8" i="5"/>
  <c r="A3" i="6" s="1"/>
  <c r="J10" i="5"/>
  <c r="A16" i="5"/>
  <c r="J18" i="5"/>
  <c r="A24" i="5"/>
  <c r="J26" i="5"/>
  <c r="A32" i="5"/>
  <c r="A7" i="6" s="1"/>
  <c r="J34" i="5"/>
  <c r="E8" i="5"/>
  <c r="I13" i="5"/>
  <c r="E16" i="5"/>
  <c r="E24" i="5"/>
  <c r="E32" i="5"/>
  <c r="I37" i="5"/>
  <c r="A3" i="5"/>
  <c r="J5" i="5"/>
  <c r="J13" i="5"/>
  <c r="G16" i="5"/>
  <c r="A19" i="5"/>
  <c r="J21" i="5"/>
  <c r="A27" i="5"/>
  <c r="J29" i="5"/>
  <c r="J37" i="5"/>
  <c r="E19" i="5"/>
  <c r="C5" i="6"/>
  <c r="J8" i="5"/>
  <c r="B3" i="6" s="1"/>
  <c r="J16" i="5"/>
  <c r="J24" i="5"/>
  <c r="J32" i="5"/>
  <c r="L7" i="5" l="1"/>
  <c r="C2" i="6" s="1"/>
  <c r="D2" i="6" s="1"/>
  <c r="E2" i="6" s="1"/>
  <c r="B2" i="6"/>
  <c r="B6" i="6"/>
  <c r="B5" i="6"/>
  <c r="B4" i="6"/>
  <c r="B7" i="6"/>
</calcChain>
</file>

<file path=xl/sharedStrings.xml><?xml version="1.0" encoding="utf-8"?>
<sst xmlns="http://schemas.openxmlformats.org/spreadsheetml/2006/main" count="235" uniqueCount="49">
  <si>
    <t>Variabel</t>
  </si>
  <si>
    <t>Himpunan</t>
  </si>
  <si>
    <t>a</t>
  </si>
  <si>
    <t>b</t>
  </si>
  <si>
    <t>c</t>
  </si>
  <si>
    <t>Volatilitas</t>
  </si>
  <si>
    <t>Rendah</t>
  </si>
  <si>
    <t>Sedang</t>
  </si>
  <si>
    <t>Tinggi</t>
  </si>
  <si>
    <t>Volume</t>
  </si>
  <si>
    <t>Frekuensi</t>
  </si>
  <si>
    <t>Rule</t>
  </si>
  <si>
    <t>Low</t>
  </si>
  <si>
    <t>Medium</t>
  </si>
  <si>
    <t>High</t>
  </si>
  <si>
    <t>kode</t>
  </si>
  <si>
    <t>selisih</t>
  </si>
  <si>
    <t>volume</t>
  </si>
  <si>
    <t>frekuensi</t>
  </si>
  <si>
    <t>BBCA</t>
  </si>
  <si>
    <t>BBRI</t>
  </si>
  <si>
    <t>TLKM</t>
  </si>
  <si>
    <t>ASII</t>
  </si>
  <si>
    <t>UNVR</t>
  </si>
  <si>
    <t>ICBP</t>
  </si>
  <si>
    <t>mu_vol_rendah</t>
  </si>
  <si>
    <t>mu_vol_sedang</t>
  </si>
  <si>
    <t>mu_vol_tinggi</t>
  </si>
  <si>
    <t>mu_volu_rendah</t>
  </si>
  <si>
    <t>mu_volu_sedang</t>
  </si>
  <si>
    <t>mu_volu_tinggi</t>
  </si>
  <si>
    <t>mu_freq_rendah</t>
  </si>
  <si>
    <t>mu_freq_sedang</t>
  </si>
  <si>
    <t>mu_freq_tinggi</t>
  </si>
  <si>
    <t>rule_index</t>
  </si>
  <si>
    <t>rule_output</t>
  </si>
  <si>
    <t>vol_kind</t>
  </si>
  <si>
    <t>mu_volatilitas</t>
  </si>
  <si>
    <t>volu_kind</t>
  </si>
  <si>
    <t>mu_volume</t>
  </si>
  <si>
    <t>freq_kind</t>
  </si>
  <si>
    <t>mu_frekuensi</t>
  </si>
  <si>
    <t>alpha</t>
  </si>
  <si>
    <t>z</t>
  </si>
  <si>
    <t>alpha_z</t>
  </si>
  <si>
    <t>sum_alpha</t>
  </si>
  <si>
    <t>sum_alpha_z</t>
  </si>
  <si>
    <t>z_final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</si>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</sst>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0</v>
      </c>
      <c r="D2">
        <v>0</v>
      </c>
      <c r="E2">
        <v>200</v>
      </c>
    </row>
    <row r="3" spans="1:5" x14ac:dyDescent="0.25">
      <c r="A3" t="s">
        <v>5</v>
      </c>
      <c r="B3" t="s">
        <v>7</v>
      </c>
      <c r="C3">
        <v>150</v>
      </c>
      <c r="D3">
        <v>300</v>
      </c>
      <c r="E3">
        <v>450</v>
      </c>
    </row>
    <row r="4" spans="1:5" x14ac:dyDescent="0.25">
      <c r="A4" t="s">
        <v>5</v>
      </c>
      <c r="B4" t="s">
        <v>8</v>
      </c>
      <c r="C4">
        <v>400</v>
      </c>
      <c r="D4">
        <v>600</v>
      </c>
      <c r="E4">
        <v>600</v>
      </c>
    </row>
    <row r="5" spans="1:5" x14ac:dyDescent="0.25">
      <c r="A5" t="s">
        <v>9</v>
      </c>
      <c r="B5" t="s">
        <v>6</v>
      </c>
      <c r="C5">
        <v>0</v>
      </c>
      <c r="D5">
        <v>3000000</v>
      </c>
      <c r="E5">
        <v>3000000</v>
      </c>
    </row>
    <row r="6" spans="1:5" x14ac:dyDescent="0.25">
      <c r="A6" t="s">
        <v>9</v>
      </c>
      <c r="B6" t="s">
        <v>7</v>
      </c>
      <c r="C6">
        <v>2000000</v>
      </c>
      <c r="D6">
        <v>5000000</v>
      </c>
      <c r="E6">
        <v>8000000</v>
      </c>
    </row>
    <row r="7" spans="1:5" x14ac:dyDescent="0.25">
      <c r="A7" t="s">
        <v>9</v>
      </c>
      <c r="B7" t="s">
        <v>8</v>
      </c>
      <c r="C7">
        <v>7000000</v>
      </c>
      <c r="D7">
        <v>10000000</v>
      </c>
      <c r="E7">
        <v>10000000</v>
      </c>
    </row>
    <row r="8" spans="1:5" x14ac:dyDescent="0.25">
      <c r="A8" t="s">
        <v>10</v>
      </c>
      <c r="B8" t="s">
        <v>6</v>
      </c>
      <c r="C8">
        <v>0</v>
      </c>
      <c r="D8">
        <v>500</v>
      </c>
      <c r="E8">
        <v>500</v>
      </c>
    </row>
    <row r="9" spans="1:5" x14ac:dyDescent="0.25">
      <c r="A9" t="s">
        <v>10</v>
      </c>
      <c r="B9" t="s">
        <v>7</v>
      </c>
      <c r="C9">
        <v>400</v>
      </c>
      <c r="D9">
        <v>1000</v>
      </c>
      <c r="E9">
        <v>1600</v>
      </c>
    </row>
    <row r="10" spans="1:5" x14ac:dyDescent="0.25">
      <c r="A10" t="s">
        <v>10</v>
      </c>
      <c r="B10" t="s">
        <v>8</v>
      </c>
      <c r="C10">
        <v>1500</v>
      </c>
      <c r="D10">
        <v>2000</v>
      </c>
      <c r="E10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5" x14ac:dyDescent="0.25"/>
  <sheetData>
    <row r="1" spans="1:4" x14ac:dyDescent="0.25">
      <c r="A1" t="s">
        <v>11</v>
      </c>
      <c r="B1" t="s">
        <v>5</v>
      </c>
      <c r="C1" t="s">
        <v>9</v>
      </c>
      <c r="D1" t="s">
        <v>10</v>
      </c>
    </row>
    <row r="2" spans="1:4" x14ac:dyDescent="0.25">
      <c r="A2" t="s">
        <v>12</v>
      </c>
      <c r="B2" t="s">
        <v>6</v>
      </c>
      <c r="C2" t="s">
        <v>8</v>
      </c>
      <c r="D2" t="s">
        <v>8</v>
      </c>
    </row>
    <row r="3" spans="1:4" x14ac:dyDescent="0.25">
      <c r="A3" t="s">
        <v>13</v>
      </c>
      <c r="B3" t="s">
        <v>7</v>
      </c>
      <c r="C3" t="s">
        <v>8</v>
      </c>
      <c r="D3" t="s">
        <v>8</v>
      </c>
    </row>
    <row r="4" spans="1:4" x14ac:dyDescent="0.25">
      <c r="A4" t="s">
        <v>13</v>
      </c>
      <c r="B4" t="s">
        <v>7</v>
      </c>
      <c r="C4" t="s">
        <v>7</v>
      </c>
      <c r="D4" t="s">
        <v>7</v>
      </c>
    </row>
    <row r="5" spans="1:4" x14ac:dyDescent="0.25">
      <c r="A5" t="s">
        <v>14</v>
      </c>
      <c r="B5" t="s">
        <v>8</v>
      </c>
      <c r="C5" t="s">
        <v>6</v>
      </c>
      <c r="D5" t="s">
        <v>6</v>
      </c>
    </row>
    <row r="6" spans="1:4" x14ac:dyDescent="0.25">
      <c r="A6" t="s">
        <v>14</v>
      </c>
      <c r="B6" t="s">
        <v>8</v>
      </c>
      <c r="C6" t="s">
        <v>7</v>
      </c>
      <c r="D6" t="s">
        <v>7</v>
      </c>
    </row>
    <row r="7" spans="1:4" x14ac:dyDescent="0.25">
      <c r="A7" t="s">
        <v>12</v>
      </c>
      <c r="B7" t="s">
        <v>6</v>
      </c>
      <c r="C7" t="s">
        <v>7</v>
      </c>
      <c r="D7" t="s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C4" sqref="C4"/>
    </sheetView>
  </sheetViews>
  <sheetFormatPr defaultRowHeight="15" x14ac:dyDescent="0.25"/>
  <sheetData>
    <row r="1" spans="1:4" x14ac:dyDescent="0.25">
      <c r="A1" t="s">
        <v>15</v>
      </c>
      <c r="B1" t="s">
        <v>16</v>
      </c>
      <c r="C1" t="s">
        <v>17</v>
      </c>
      <c r="D1" t="s">
        <v>18</v>
      </c>
    </row>
    <row r="2" spans="1:4" x14ac:dyDescent="0.25">
      <c r="A2" t="s">
        <v>19</v>
      </c>
      <c r="B2">
        <v>120</v>
      </c>
      <c r="C2">
        <v>7000000</v>
      </c>
      <c r="D2">
        <v>1800</v>
      </c>
    </row>
    <row r="3" spans="1:4" x14ac:dyDescent="0.25">
      <c r="A3" t="s">
        <v>20</v>
      </c>
      <c r="B3">
        <v>450</v>
      </c>
      <c r="C3">
        <v>3000000</v>
      </c>
      <c r="D3">
        <v>900</v>
      </c>
    </row>
    <row r="4" spans="1:4" x14ac:dyDescent="0.25">
      <c r="A4" t="s">
        <v>21</v>
      </c>
      <c r="B4">
        <v>220</v>
      </c>
      <c r="C4">
        <v>9000000</v>
      </c>
      <c r="D4">
        <v>1500</v>
      </c>
    </row>
    <row r="5" spans="1:4" x14ac:dyDescent="0.25">
      <c r="A5" t="s">
        <v>22</v>
      </c>
      <c r="B5">
        <v>50</v>
      </c>
      <c r="C5">
        <v>1200000</v>
      </c>
      <c r="D5">
        <v>400</v>
      </c>
    </row>
    <row r="6" spans="1:4" x14ac:dyDescent="0.25">
      <c r="A6" t="s">
        <v>23</v>
      </c>
      <c r="B6">
        <v>520</v>
      </c>
      <c r="C6">
        <v>2500000</v>
      </c>
      <c r="D6">
        <v>600</v>
      </c>
    </row>
    <row r="7" spans="1:4" x14ac:dyDescent="0.25">
      <c r="A7" t="s">
        <v>24</v>
      </c>
      <c r="B7">
        <v>350</v>
      </c>
      <c r="C7">
        <v>6000000</v>
      </c>
      <c r="D7">
        <v>1300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>
      <selection activeCell="E2" sqref="E2"/>
    </sheetView>
  </sheetViews>
  <sheetFormatPr defaultRowHeight="15" x14ac:dyDescent="0.25"/>
  <cols>
    <col min="2" max="13" width="18.140625" customWidth="1"/>
  </cols>
  <sheetData>
    <row r="1" spans="1:13" x14ac:dyDescent="0.25">
      <c r="A1" t="s">
        <v>15</v>
      </c>
      <c r="B1" t="s">
        <v>16</v>
      </c>
      <c r="C1" t="s">
        <v>25</v>
      </c>
      <c r="D1" t="s">
        <v>26</v>
      </c>
      <c r="E1" t="s">
        <v>27</v>
      </c>
      <c r="F1" t="s">
        <v>17</v>
      </c>
      <c r="G1" t="s">
        <v>28</v>
      </c>
      <c r="H1" t="s">
        <v>29</v>
      </c>
      <c r="I1" t="s">
        <v>30</v>
      </c>
      <c r="J1" t="s">
        <v>18</v>
      </c>
      <c r="K1" t="s">
        <v>31</v>
      </c>
      <c r="L1" t="s">
        <v>32</v>
      </c>
      <c r="M1" t="s">
        <v>33</v>
      </c>
    </row>
    <row r="2" spans="1:13" x14ac:dyDescent="0.25">
      <c r="A2" t="str">
        <f>data_input!A2</f>
        <v>BBCA</v>
      </c>
      <c r="B2">
        <f>data_input!B2</f>
        <v>120</v>
      </c>
      <c r="C2">
        <f>IF(data_input!B2&lt;=0,1,IF(data_input!B2&gt;=200,0,(200-data_input!B2)/(200-0)))</f>
        <v>0.4</v>
      </c>
      <c r="D2">
        <f>IF(OR(data_input!B2&lt;=150,data_input!B2&gt;=450),0,IF(data_input!B2&lt;=300,(data_input!B2-150)/(300-150),(450-data_input!B2)/(450-300)))</f>
        <v>0</v>
      </c>
      <c r="E2">
        <f>IF(data_input!B2&lt;=400,0,IF(data_input!B2&gt;=600,1,(data_input!B2-400)/(600-400)))</f>
        <v>0</v>
      </c>
      <c r="F2">
        <f>data_input!C2</f>
        <v>7000000</v>
      </c>
      <c r="G2">
        <f>IF(data_input!C2&lt;=0,1,IF(data_input!C2&gt;=3000000,0,(3000000-data_input!C2)/(3000000-0)))</f>
        <v>0</v>
      </c>
      <c r="H2">
        <f>IF(OR(data_input!C2&lt;=2000000,data_input!C2&gt;=8000000),0,IF(data_input!C2&lt;=5000000,(data_input!C2-2000000)/(5000000-2000000),(8000000-data_input!C2)/(8000000-5000000)))</f>
        <v>0.33333333333333331</v>
      </c>
      <c r="I2">
        <f>IF(data_input!C2&lt;=7000000,0,IF(data_input!C2&gt;=10000000,1,(data_input!C2-7000000)/(10000000-7000000)))</f>
        <v>0</v>
      </c>
      <c r="J2">
        <f>data_input!D2</f>
        <v>1800</v>
      </c>
      <c r="K2">
        <f>IF(data_input!D2&lt;=0,1,IF(data_input!D2&gt;=500,0,(500-data_input!D2)/(500-0)))</f>
        <v>0</v>
      </c>
      <c r="L2">
        <f>IF(OR(data_input!D2&lt;=400,data_input!D2&gt;=1600),0,IF(data_input!D2&lt;=1000,(data_input!D2-400)/(1000-400),(1600-data_input!D2)/(1600-1000)))</f>
        <v>0</v>
      </c>
      <c r="M2">
        <f>IF(data_input!D2&lt;=1500,0,IF(data_input!D2&gt;=2000,1,(data_input!D2-1500)/(2000-1500)))</f>
        <v>0.6</v>
      </c>
    </row>
    <row r="3" spans="1:13" x14ac:dyDescent="0.25">
      <c r="A3" t="str">
        <f>data_input!A3</f>
        <v>BBRI</v>
      </c>
      <c r="B3">
        <f>data_input!B3</f>
        <v>450</v>
      </c>
      <c r="C3">
        <f>IF(data_input!B3&lt;=0,1,IF(data_input!B3&gt;=200,0,(200-data_input!B3)/(200-0)))</f>
        <v>0</v>
      </c>
      <c r="D3">
        <f>IF(OR(data_input!B3&lt;=150,data_input!B3&gt;=450),0,IF(data_input!B3&lt;=300,(data_input!B3-150)/(300-150),(450-data_input!B3)/(450-300)))</f>
        <v>0</v>
      </c>
      <c r="E3">
        <f>IF(data_input!B3&lt;=400,0,IF(data_input!B3&gt;=600,1,(data_input!B3-400)/(600-400)))</f>
        <v>0.25</v>
      </c>
      <c r="F3">
        <f>data_input!C3</f>
        <v>3000000</v>
      </c>
      <c r="G3">
        <f>IF(data_input!C3&lt;=0,1,IF(data_input!C3&gt;=3000000,0,(3000000-data_input!C3)/(3000000-0)))</f>
        <v>0</v>
      </c>
      <c r="H3">
        <f>IF(OR(data_input!C3&lt;=2000000,data_input!C3&gt;=8000000),0,IF(data_input!C3&lt;=5000000,(data_input!C3-2000000)/(5000000-2000000),(8000000-data_input!C3)/(8000000-5000000)))</f>
        <v>0.33333333333333331</v>
      </c>
      <c r="I3">
        <f>IF(data_input!C3&lt;=7000000,0,IF(data_input!C3&gt;=10000000,1,(data_input!C3-7000000)/(10000000-7000000)))</f>
        <v>0</v>
      </c>
      <c r="J3">
        <f>data_input!D3</f>
        <v>900</v>
      </c>
      <c r="K3">
        <f>IF(data_input!D3&lt;=0,1,IF(data_input!D3&gt;=500,0,(500-data_input!D3)/(500-0)))</f>
        <v>0</v>
      </c>
      <c r="L3">
        <f>IF(OR(data_input!D3&lt;=400,data_input!D3&gt;=1600),0,IF(data_input!D3&lt;=1000,(data_input!D3-400)/(1000-400),(1600-data_input!D3)/(1600-1000)))</f>
        <v>0.83333333333333337</v>
      </c>
      <c r="M3">
        <f>IF(data_input!D3&lt;=1500,0,IF(data_input!D3&gt;=2000,1,(data_input!D3-1500)/(2000-1500)))</f>
        <v>0</v>
      </c>
    </row>
    <row r="4" spans="1:13" x14ac:dyDescent="0.25">
      <c r="A4" t="str">
        <f>data_input!A4</f>
        <v>TLKM</v>
      </c>
      <c r="B4">
        <f>data_input!B4</f>
        <v>220</v>
      </c>
      <c r="C4">
        <f>IF(data_input!B4&lt;=0,1,IF(data_input!B4&gt;=200,0,(200-data_input!B4)/(200-0)))</f>
        <v>0</v>
      </c>
      <c r="D4">
        <f>IF(OR(data_input!B4&lt;=150,data_input!B4&gt;=450),0,IF(data_input!B4&lt;=300,(data_input!B4-150)/(300-150),(450-data_input!B4)/(450-300)))</f>
        <v>0.46666666666666667</v>
      </c>
      <c r="E4">
        <f>IF(data_input!B4&lt;=400,0,IF(data_input!B4&gt;=600,1,(data_input!B4-400)/(600-400)))</f>
        <v>0</v>
      </c>
      <c r="F4">
        <f>data_input!C4</f>
        <v>9000000</v>
      </c>
      <c r="G4">
        <f>IF(data_input!C4&lt;=0,1,IF(data_input!C4&gt;=3000000,0,(3000000-data_input!C4)/(3000000-0)))</f>
        <v>0</v>
      </c>
      <c r="H4">
        <f>IF(OR(data_input!C4&lt;=2000000,data_input!C4&gt;=8000000),0,IF(data_input!C4&lt;=5000000,(data_input!C4-2000000)/(5000000-2000000),(8000000-data_input!C4)/(8000000-5000000)))</f>
        <v>0</v>
      </c>
      <c r="I4">
        <f>IF(data_input!C4&lt;=7000000,0,IF(data_input!C4&gt;=10000000,1,(data_input!C4-7000000)/(10000000-7000000)))</f>
        <v>0.66666666666666663</v>
      </c>
      <c r="J4">
        <f>data_input!D4</f>
        <v>1500</v>
      </c>
      <c r="K4">
        <f>IF(data_input!D4&lt;=0,1,IF(data_input!D4&gt;=500,0,(500-data_input!D4)/(500-0)))</f>
        <v>0</v>
      </c>
      <c r="L4">
        <f>IF(OR(data_input!D4&lt;=400,data_input!D4&gt;=1600),0,IF(data_input!D4&lt;=1000,(data_input!D4-400)/(1000-400),(1600-data_input!D4)/(1600-1000)))</f>
        <v>0.16666666666666666</v>
      </c>
      <c r="M4">
        <f>IF(data_input!D4&lt;=1500,0,IF(data_input!D4&gt;=2000,1,(data_input!D4-1500)/(2000-1500)))</f>
        <v>0</v>
      </c>
    </row>
    <row r="5" spans="1:13" x14ac:dyDescent="0.25">
      <c r="A5" t="str">
        <f>data_input!A5</f>
        <v>ASII</v>
      </c>
      <c r="B5">
        <f>data_input!B5</f>
        <v>50</v>
      </c>
      <c r="C5">
        <f>IF(data_input!B5&lt;=0,1,IF(data_input!B5&gt;=200,0,(200-data_input!B5)/(200-0)))</f>
        <v>0.75</v>
      </c>
      <c r="D5">
        <f>IF(OR(data_input!B5&lt;=150,data_input!B5&gt;=450),0,IF(data_input!B5&lt;=300,(data_input!B5-150)/(300-150),(450-data_input!B5)/(450-300)))</f>
        <v>0</v>
      </c>
      <c r="E5">
        <f>IF(data_input!B5&lt;=400,0,IF(data_input!B5&gt;=600,1,(data_input!B5-400)/(600-400)))</f>
        <v>0</v>
      </c>
      <c r="F5">
        <f>data_input!C5</f>
        <v>1200000</v>
      </c>
      <c r="G5">
        <f>IF(data_input!C5&lt;=0,1,IF(data_input!C5&gt;=3000000,0,(3000000-data_input!C5)/(3000000-0)))</f>
        <v>0.6</v>
      </c>
      <c r="H5">
        <f>IF(OR(data_input!C5&lt;=2000000,data_input!C5&gt;=8000000),0,IF(data_input!C5&lt;=5000000,(data_input!C5-2000000)/(5000000-2000000),(8000000-data_input!C5)/(8000000-5000000)))</f>
        <v>0</v>
      </c>
      <c r="I5">
        <f>IF(data_input!C5&lt;=7000000,0,IF(data_input!C5&gt;=10000000,1,(data_input!C5-7000000)/(10000000-7000000)))</f>
        <v>0</v>
      </c>
      <c r="J5">
        <f>data_input!D5</f>
        <v>400</v>
      </c>
      <c r="K5">
        <f>IF(data_input!D5&lt;=0,1,IF(data_input!D5&gt;=500,0,(500-data_input!D5)/(500-0)))</f>
        <v>0.2</v>
      </c>
      <c r="L5">
        <f>IF(OR(data_input!D5&lt;=400,data_input!D5&gt;=1600),0,IF(data_input!D5&lt;=1000,(data_input!D5-400)/(1000-400),(1600-data_input!D5)/(1600-1000)))</f>
        <v>0</v>
      </c>
      <c r="M5">
        <f>IF(data_input!D5&lt;=1500,0,IF(data_input!D5&gt;=2000,1,(data_input!D5-1500)/(2000-1500)))</f>
        <v>0</v>
      </c>
    </row>
    <row r="6" spans="1:13" x14ac:dyDescent="0.25">
      <c r="A6" t="str">
        <f>data_input!A6</f>
        <v>UNVR</v>
      </c>
      <c r="B6">
        <f>data_input!B6</f>
        <v>520</v>
      </c>
      <c r="C6">
        <f>IF(data_input!B6&lt;=0,1,IF(data_input!B6&gt;=200,0,(200-data_input!B6)/(200-0)))</f>
        <v>0</v>
      </c>
      <c r="D6">
        <f>IF(OR(data_input!B6&lt;=150,data_input!B6&gt;=450),0,IF(data_input!B6&lt;=300,(data_input!B6-150)/(300-150),(450-data_input!B6)/(450-300)))</f>
        <v>0</v>
      </c>
      <c r="E6">
        <f>IF(data_input!B6&lt;=400,0,IF(data_input!B6&gt;=600,1,(data_input!B6-400)/(600-400)))</f>
        <v>0.6</v>
      </c>
      <c r="F6">
        <f>data_input!C6</f>
        <v>2500000</v>
      </c>
      <c r="G6">
        <f>IF(data_input!C6&lt;=0,1,IF(data_input!C6&gt;=3000000,0,(3000000-data_input!C6)/(3000000-0)))</f>
        <v>0.16666666666666666</v>
      </c>
      <c r="H6">
        <f>IF(OR(data_input!C6&lt;=2000000,data_input!C6&gt;=8000000),0,IF(data_input!C6&lt;=5000000,(data_input!C6-2000000)/(5000000-2000000),(8000000-data_input!C6)/(8000000-5000000)))</f>
        <v>0.16666666666666666</v>
      </c>
      <c r="I6">
        <f>IF(data_input!C6&lt;=7000000,0,IF(data_input!C6&gt;=10000000,1,(data_input!C6-7000000)/(10000000-7000000)))</f>
        <v>0</v>
      </c>
      <c r="J6">
        <f>data_input!D6</f>
        <v>600</v>
      </c>
      <c r="K6">
        <f>IF(data_input!D6&lt;=0,1,IF(data_input!D6&gt;=500,0,(500-data_input!D6)/(500-0)))</f>
        <v>0</v>
      </c>
      <c r="L6">
        <f>IF(OR(data_input!D6&lt;=400,data_input!D6&gt;=1600),0,IF(data_input!D6&lt;=1000,(data_input!D6-400)/(1000-400),(1600-data_input!D6)/(1600-1000)))</f>
        <v>0.33333333333333331</v>
      </c>
      <c r="M6">
        <f>IF(data_input!D6&lt;=1500,0,IF(data_input!D6&gt;=2000,1,(data_input!D6-1500)/(2000-1500)))</f>
        <v>0</v>
      </c>
    </row>
    <row r="7" spans="1:13" x14ac:dyDescent="0.25">
      <c r="A7" t="str">
        <f>data_input!A7</f>
        <v>ICBP</v>
      </c>
      <c r="B7">
        <f>data_input!B7</f>
        <v>350</v>
      </c>
      <c r="C7">
        <f>IF(data_input!B7&lt;=0,1,IF(data_input!B7&gt;=200,0,(200-data_input!B7)/(200-0)))</f>
        <v>0</v>
      </c>
      <c r="D7">
        <f>IF(OR(data_input!B7&lt;=150,data_input!B7&gt;=450),0,IF(data_input!B7&lt;=300,(data_input!B7-150)/(300-150),(450-data_input!B7)/(450-300)))</f>
        <v>0.66666666666666663</v>
      </c>
      <c r="E7">
        <f>IF(data_input!B7&lt;=400,0,IF(data_input!B7&gt;=600,1,(data_input!B7-400)/(600-400)))</f>
        <v>0</v>
      </c>
      <c r="F7">
        <f>data_input!C7</f>
        <v>6000000</v>
      </c>
      <c r="G7">
        <f>IF(data_input!C7&lt;=0,1,IF(data_input!C7&gt;=3000000,0,(3000000-data_input!C7)/(3000000-0)))</f>
        <v>0</v>
      </c>
      <c r="H7">
        <f>IF(OR(data_input!C7&lt;=2000000,data_input!C7&gt;=8000000),0,IF(data_input!C7&lt;=5000000,(data_input!C7-2000000)/(5000000-2000000),(8000000-data_input!C7)/(8000000-5000000)))</f>
        <v>0.66666666666666663</v>
      </c>
      <c r="I7">
        <f>IF(data_input!C7&lt;=7000000,0,IF(data_input!C7&gt;=10000000,1,(data_input!C7-7000000)/(10000000-7000000)))</f>
        <v>0</v>
      </c>
      <c r="J7">
        <f>data_input!D7</f>
        <v>1300</v>
      </c>
      <c r="K7">
        <f>IF(data_input!D7&lt;=0,1,IF(data_input!D7&gt;=500,0,(500-data_input!D7)/(500-0)))</f>
        <v>0</v>
      </c>
      <c r="L7">
        <f>IF(OR(data_input!D7&lt;=400,data_input!D7&gt;=1600),0,IF(data_input!D7&lt;=1000,(data_input!D7-400)/(1000-400),(1600-data_input!D7)/(1600-1000)))</f>
        <v>0.5</v>
      </c>
      <c r="M7">
        <f>IF(data_input!D7&lt;=1500,0,IF(data_input!D7&gt;=2000,1,(data_input!D7-1500)/(2000-1500)))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7"/>
  <sheetViews>
    <sheetView tabSelected="1" workbookViewId="0">
      <selection activeCell="K2" sqref="K2:K37"/>
    </sheetView>
  </sheetViews>
  <sheetFormatPr defaultRowHeight="15" x14ac:dyDescent="0.25"/>
  <sheetData>
    <row r="1" spans="1:12" x14ac:dyDescent="0.25">
      <c r="A1" t="s">
        <v>15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 t="str">
        <f>fuzzifikasi!A2</f>
        <v>BBCA</v>
      </c>
      <c r="B2">
        <v>1</v>
      </c>
      <c r="C2" t="s">
        <v>12</v>
      </c>
      <c r="D2" t="s">
        <v>6</v>
      </c>
      <c r="E2">
        <f>fuzzifikasi!C2</f>
        <v>0.4</v>
      </c>
      <c r="F2" t="s">
        <v>8</v>
      </c>
      <c r="G2">
        <f>fuzzifikasi!I2</f>
        <v>0</v>
      </c>
      <c r="H2" t="s">
        <v>8</v>
      </c>
      <c r="I2">
        <f>fuzzifikasi!M2</f>
        <v>0.6</v>
      </c>
      <c r="J2">
        <f>MIN(fuzzifikasi!C2,fuzzifikasi!I2,fuzzifikasi!M2)</f>
        <v>0</v>
      </c>
      <c r="K2">
        <f>IF(C2="Low",40-(J2*40),
 IF(C2="Medium",70-(J2*30),
 IF(C2="High",100-(J2*30),
 0)))</f>
        <v>40</v>
      </c>
      <c r="L2">
        <f>MIN(fuzzifikasi!C2,fuzzifikasi!I2,fuzzifikasi!M2)*K2</f>
        <v>0</v>
      </c>
    </row>
    <row r="3" spans="1:12" x14ac:dyDescent="0.25">
      <c r="A3" t="str">
        <f>fuzzifikasi!A2</f>
        <v>BBCA</v>
      </c>
      <c r="B3">
        <v>2</v>
      </c>
      <c r="C3" t="s">
        <v>13</v>
      </c>
      <c r="D3" t="s">
        <v>7</v>
      </c>
      <c r="E3">
        <f>fuzzifikasi!D2</f>
        <v>0</v>
      </c>
      <c r="F3" t="s">
        <v>8</v>
      </c>
      <c r="G3">
        <f>fuzzifikasi!I2</f>
        <v>0</v>
      </c>
      <c r="H3" t="s">
        <v>8</v>
      </c>
      <c r="I3">
        <f>fuzzifikasi!M2</f>
        <v>0.6</v>
      </c>
      <c r="J3">
        <f>MIN(fuzzifikasi!D2,fuzzifikasi!I2,fuzzifikasi!M2)</f>
        <v>0</v>
      </c>
      <c r="K3">
        <f t="shared" ref="K3:K37" si="0">IF(C3="Low",40-(J3*40),
 IF(C3="Medium",70-(J3*30),
 IF(C3="High",100-(J3*30),
 0)))</f>
        <v>70</v>
      </c>
      <c r="L3">
        <f>MIN(fuzzifikasi!D2,fuzzifikasi!I2,fuzzifikasi!M2)*K3</f>
        <v>0</v>
      </c>
    </row>
    <row r="4" spans="1:12" x14ac:dyDescent="0.25">
      <c r="A4" t="str">
        <f>fuzzifikasi!A2</f>
        <v>BBCA</v>
      </c>
      <c r="B4">
        <v>3</v>
      </c>
      <c r="C4" t="s">
        <v>13</v>
      </c>
      <c r="D4" t="s">
        <v>7</v>
      </c>
      <c r="E4">
        <f>fuzzifikasi!D2</f>
        <v>0</v>
      </c>
      <c r="F4" t="s">
        <v>7</v>
      </c>
      <c r="G4">
        <f>fuzzifikasi!H2</f>
        <v>0.33333333333333331</v>
      </c>
      <c r="H4" t="s">
        <v>7</v>
      </c>
      <c r="I4">
        <f>fuzzifikasi!L2</f>
        <v>0</v>
      </c>
      <c r="J4">
        <f>MIN(fuzzifikasi!D2,fuzzifikasi!H2,fuzzifikasi!L2)</f>
        <v>0</v>
      </c>
      <c r="K4">
        <f t="shared" si="0"/>
        <v>70</v>
      </c>
      <c r="L4">
        <f>MIN(fuzzifikasi!D2,fuzzifikasi!H2,fuzzifikasi!L2)*K4</f>
        <v>0</v>
      </c>
    </row>
    <row r="5" spans="1:12" x14ac:dyDescent="0.25">
      <c r="A5" t="str">
        <f>fuzzifikasi!A2</f>
        <v>BBCA</v>
      </c>
      <c r="B5">
        <v>4</v>
      </c>
      <c r="C5" t="s">
        <v>14</v>
      </c>
      <c r="D5" t="s">
        <v>8</v>
      </c>
      <c r="E5">
        <f>fuzzifikasi!E2</f>
        <v>0</v>
      </c>
      <c r="F5" t="s">
        <v>6</v>
      </c>
      <c r="G5">
        <f>fuzzifikasi!G2</f>
        <v>0</v>
      </c>
      <c r="H5" t="s">
        <v>6</v>
      </c>
      <c r="I5">
        <f>fuzzifikasi!K2</f>
        <v>0</v>
      </c>
      <c r="J5">
        <f>MIN(fuzzifikasi!E2,fuzzifikasi!G2,fuzzifikasi!K2)</f>
        <v>0</v>
      </c>
      <c r="K5">
        <f t="shared" si="0"/>
        <v>100</v>
      </c>
      <c r="L5">
        <f>MIN(fuzzifikasi!E2,fuzzifikasi!G2,fuzzifikasi!K2)*K5</f>
        <v>0</v>
      </c>
    </row>
    <row r="6" spans="1:12" x14ac:dyDescent="0.25">
      <c r="A6" t="str">
        <f>fuzzifikasi!A2</f>
        <v>BBCA</v>
      </c>
      <c r="B6">
        <v>5</v>
      </c>
      <c r="C6" t="s">
        <v>14</v>
      </c>
      <c r="D6" t="s">
        <v>8</v>
      </c>
      <c r="E6">
        <f>fuzzifikasi!E2</f>
        <v>0</v>
      </c>
      <c r="F6" t="s">
        <v>7</v>
      </c>
      <c r="G6">
        <f>fuzzifikasi!H2</f>
        <v>0.33333333333333331</v>
      </c>
      <c r="H6" t="s">
        <v>7</v>
      </c>
      <c r="I6">
        <f>fuzzifikasi!L2</f>
        <v>0</v>
      </c>
      <c r="J6">
        <f>MIN(fuzzifikasi!E2,fuzzifikasi!H2,fuzzifikasi!L2)</f>
        <v>0</v>
      </c>
      <c r="K6">
        <f t="shared" si="0"/>
        <v>100</v>
      </c>
      <c r="L6">
        <f>MIN(fuzzifikasi!E2,fuzzifikasi!H2,fuzzifikasi!L2)*K6</f>
        <v>0</v>
      </c>
    </row>
    <row r="7" spans="1:12" x14ac:dyDescent="0.25">
      <c r="A7" t="str">
        <f>fuzzifikasi!A2</f>
        <v>BBCA</v>
      </c>
      <c r="B7">
        <v>6</v>
      </c>
      <c r="C7" t="s">
        <v>12</v>
      </c>
      <c r="D7" t="s">
        <v>6</v>
      </c>
      <c r="E7">
        <f>fuzzifikasi!C2</f>
        <v>0.4</v>
      </c>
      <c r="F7" t="s">
        <v>7</v>
      </c>
      <c r="G7">
        <f>fuzzifikasi!H2</f>
        <v>0.33333333333333331</v>
      </c>
      <c r="H7" t="s">
        <v>8</v>
      </c>
      <c r="I7">
        <f>fuzzifikasi!M2</f>
        <v>0.6</v>
      </c>
      <c r="J7">
        <f>MIN(fuzzifikasi!C2,fuzzifikasi!H2,fuzzifikasi!M2)</f>
        <v>0.33333333333333331</v>
      </c>
      <c r="K7">
        <f t="shared" si="0"/>
        <v>26.666666666666668</v>
      </c>
      <c r="L7">
        <f>MIN(fuzzifikasi!C2,fuzzifikasi!H2,fuzzifikasi!M2)*K7</f>
        <v>8.8888888888888893</v>
      </c>
    </row>
    <row r="8" spans="1:12" x14ac:dyDescent="0.25">
      <c r="A8" t="str">
        <f>fuzzifikasi!A3</f>
        <v>BBRI</v>
      </c>
      <c r="B8">
        <v>1</v>
      </c>
      <c r="C8" t="s">
        <v>12</v>
      </c>
      <c r="D8" t="s">
        <v>6</v>
      </c>
      <c r="E8">
        <f>fuzzifikasi!C3</f>
        <v>0</v>
      </c>
      <c r="F8" t="s">
        <v>8</v>
      </c>
      <c r="G8">
        <f>fuzzifikasi!I3</f>
        <v>0</v>
      </c>
      <c r="H8" t="s">
        <v>8</v>
      </c>
      <c r="I8">
        <f>fuzzifikasi!M3</f>
        <v>0</v>
      </c>
      <c r="J8">
        <f>MIN(fuzzifikasi!C3,fuzzifikasi!I3,fuzzifikasi!M3)</f>
        <v>0</v>
      </c>
      <c r="K8">
        <f t="shared" si="0"/>
        <v>40</v>
      </c>
      <c r="L8">
        <f>MIN(fuzzifikasi!C3,fuzzifikasi!I3,fuzzifikasi!M3)*K8</f>
        <v>0</v>
      </c>
    </row>
    <row r="9" spans="1:12" x14ac:dyDescent="0.25">
      <c r="A9" t="str">
        <f>fuzzifikasi!A3</f>
        <v>BBRI</v>
      </c>
      <c r="B9">
        <v>2</v>
      </c>
      <c r="C9" t="s">
        <v>13</v>
      </c>
      <c r="D9" t="s">
        <v>7</v>
      </c>
      <c r="E9">
        <f>fuzzifikasi!D3</f>
        <v>0</v>
      </c>
      <c r="F9" t="s">
        <v>8</v>
      </c>
      <c r="G9">
        <f>fuzzifikasi!I3</f>
        <v>0</v>
      </c>
      <c r="H9" t="s">
        <v>8</v>
      </c>
      <c r="I9">
        <f>fuzzifikasi!M3</f>
        <v>0</v>
      </c>
      <c r="J9">
        <f>MIN(fuzzifikasi!D3,fuzzifikasi!I3,fuzzifikasi!M3)</f>
        <v>0</v>
      </c>
      <c r="K9">
        <f t="shared" si="0"/>
        <v>70</v>
      </c>
      <c r="L9">
        <f>MIN(fuzzifikasi!D3,fuzzifikasi!I3,fuzzifikasi!M3)*K9</f>
        <v>0</v>
      </c>
    </row>
    <row r="10" spans="1:12" x14ac:dyDescent="0.25">
      <c r="A10" t="str">
        <f>fuzzifikasi!A3</f>
        <v>BBRI</v>
      </c>
      <c r="B10">
        <v>3</v>
      </c>
      <c r="C10" t="s">
        <v>13</v>
      </c>
      <c r="D10" t="s">
        <v>7</v>
      </c>
      <c r="E10">
        <f>fuzzifikasi!D3</f>
        <v>0</v>
      </c>
      <c r="F10" t="s">
        <v>7</v>
      </c>
      <c r="G10">
        <f>fuzzifikasi!H3</f>
        <v>0.33333333333333331</v>
      </c>
      <c r="H10" t="s">
        <v>7</v>
      </c>
      <c r="I10">
        <f>fuzzifikasi!L3</f>
        <v>0.83333333333333337</v>
      </c>
      <c r="J10">
        <f>MIN(fuzzifikasi!D3,fuzzifikasi!H3,fuzzifikasi!L3)</f>
        <v>0</v>
      </c>
      <c r="K10">
        <f t="shared" si="0"/>
        <v>70</v>
      </c>
      <c r="L10">
        <f>MIN(fuzzifikasi!D3,fuzzifikasi!H3,fuzzifikasi!L3)*K10</f>
        <v>0</v>
      </c>
    </row>
    <row r="11" spans="1:12" x14ac:dyDescent="0.25">
      <c r="A11" t="str">
        <f>fuzzifikasi!A3</f>
        <v>BBRI</v>
      </c>
      <c r="B11">
        <v>4</v>
      </c>
      <c r="C11" t="s">
        <v>14</v>
      </c>
      <c r="D11" t="s">
        <v>8</v>
      </c>
      <c r="E11">
        <f>fuzzifikasi!E3</f>
        <v>0.25</v>
      </c>
      <c r="F11" t="s">
        <v>6</v>
      </c>
      <c r="G11">
        <f>fuzzifikasi!G3</f>
        <v>0</v>
      </c>
      <c r="H11" t="s">
        <v>6</v>
      </c>
      <c r="I11">
        <f>fuzzifikasi!K3</f>
        <v>0</v>
      </c>
      <c r="J11">
        <f>MIN(fuzzifikasi!E3,fuzzifikasi!G3,fuzzifikasi!K3)</f>
        <v>0</v>
      </c>
      <c r="K11">
        <f t="shared" si="0"/>
        <v>100</v>
      </c>
      <c r="L11">
        <f>MIN(fuzzifikasi!E3,fuzzifikasi!G3,fuzzifikasi!K3)*K11</f>
        <v>0</v>
      </c>
    </row>
    <row r="12" spans="1:12" x14ac:dyDescent="0.25">
      <c r="A12" t="str">
        <f>fuzzifikasi!A3</f>
        <v>BBRI</v>
      </c>
      <c r="B12">
        <v>5</v>
      </c>
      <c r="C12" t="s">
        <v>14</v>
      </c>
      <c r="D12" t="s">
        <v>8</v>
      </c>
      <c r="E12">
        <f>fuzzifikasi!E3</f>
        <v>0.25</v>
      </c>
      <c r="F12" t="s">
        <v>7</v>
      </c>
      <c r="G12">
        <f>fuzzifikasi!H3</f>
        <v>0.33333333333333331</v>
      </c>
      <c r="H12" t="s">
        <v>7</v>
      </c>
      <c r="I12">
        <f>fuzzifikasi!L3</f>
        <v>0.83333333333333337</v>
      </c>
      <c r="J12">
        <f>MIN(fuzzifikasi!E3,fuzzifikasi!H3,fuzzifikasi!L3)</f>
        <v>0.25</v>
      </c>
      <c r="K12">
        <f t="shared" si="0"/>
        <v>92.5</v>
      </c>
      <c r="L12">
        <f>MIN(fuzzifikasi!E3,fuzzifikasi!H3,fuzzifikasi!L3)*K12</f>
        <v>23.125</v>
      </c>
    </row>
    <row r="13" spans="1:12" x14ac:dyDescent="0.25">
      <c r="A13" t="str">
        <f>fuzzifikasi!A3</f>
        <v>BBRI</v>
      </c>
      <c r="B13">
        <v>6</v>
      </c>
      <c r="C13" t="s">
        <v>12</v>
      </c>
      <c r="D13" t="s">
        <v>6</v>
      </c>
      <c r="E13">
        <f>fuzzifikasi!C3</f>
        <v>0</v>
      </c>
      <c r="F13" t="s">
        <v>7</v>
      </c>
      <c r="G13">
        <f>fuzzifikasi!H3</f>
        <v>0.33333333333333331</v>
      </c>
      <c r="H13" t="s">
        <v>8</v>
      </c>
      <c r="I13">
        <f>fuzzifikasi!M3</f>
        <v>0</v>
      </c>
      <c r="J13">
        <f>MIN(fuzzifikasi!C3,fuzzifikasi!H3,fuzzifikasi!M3)</f>
        <v>0</v>
      </c>
      <c r="K13">
        <f t="shared" si="0"/>
        <v>40</v>
      </c>
      <c r="L13">
        <f>MIN(fuzzifikasi!C3,fuzzifikasi!H3,fuzzifikasi!M3)*K13</f>
        <v>0</v>
      </c>
    </row>
    <row r="14" spans="1:12" x14ac:dyDescent="0.25">
      <c r="A14" t="str">
        <f>fuzzifikasi!A4</f>
        <v>TLKM</v>
      </c>
      <c r="B14">
        <v>1</v>
      </c>
      <c r="C14" t="s">
        <v>12</v>
      </c>
      <c r="D14" t="s">
        <v>6</v>
      </c>
      <c r="E14">
        <f>fuzzifikasi!C4</f>
        <v>0</v>
      </c>
      <c r="F14" t="s">
        <v>8</v>
      </c>
      <c r="G14">
        <f>fuzzifikasi!I4</f>
        <v>0.66666666666666663</v>
      </c>
      <c r="H14" t="s">
        <v>8</v>
      </c>
      <c r="I14">
        <f>fuzzifikasi!M4</f>
        <v>0</v>
      </c>
      <c r="J14">
        <f>MIN(fuzzifikasi!C4,fuzzifikasi!I4,fuzzifikasi!M4)</f>
        <v>0</v>
      </c>
      <c r="K14">
        <f t="shared" si="0"/>
        <v>40</v>
      </c>
      <c r="L14">
        <f>MIN(fuzzifikasi!C4,fuzzifikasi!I4,fuzzifikasi!M4)*K14</f>
        <v>0</v>
      </c>
    </row>
    <row r="15" spans="1:12" x14ac:dyDescent="0.25">
      <c r="A15" t="str">
        <f>fuzzifikasi!A4</f>
        <v>TLKM</v>
      </c>
      <c r="B15">
        <v>2</v>
      </c>
      <c r="C15" t="s">
        <v>13</v>
      </c>
      <c r="D15" t="s">
        <v>7</v>
      </c>
      <c r="E15">
        <f>fuzzifikasi!D4</f>
        <v>0.46666666666666667</v>
      </c>
      <c r="F15" t="s">
        <v>8</v>
      </c>
      <c r="G15">
        <f>fuzzifikasi!I4</f>
        <v>0.66666666666666663</v>
      </c>
      <c r="H15" t="s">
        <v>8</v>
      </c>
      <c r="I15">
        <f>fuzzifikasi!M4</f>
        <v>0</v>
      </c>
      <c r="J15">
        <f>MIN(fuzzifikasi!D4,fuzzifikasi!I4,fuzzifikasi!M4)</f>
        <v>0</v>
      </c>
      <c r="K15">
        <f t="shared" si="0"/>
        <v>70</v>
      </c>
      <c r="L15">
        <f>MIN(fuzzifikasi!D4,fuzzifikasi!I4,fuzzifikasi!M4)*K15</f>
        <v>0</v>
      </c>
    </row>
    <row r="16" spans="1:12" x14ac:dyDescent="0.25">
      <c r="A16" t="str">
        <f>fuzzifikasi!A4</f>
        <v>TLKM</v>
      </c>
      <c r="B16">
        <v>3</v>
      </c>
      <c r="C16" t="s">
        <v>13</v>
      </c>
      <c r="D16" t="s">
        <v>7</v>
      </c>
      <c r="E16">
        <f>fuzzifikasi!D4</f>
        <v>0.46666666666666667</v>
      </c>
      <c r="F16" t="s">
        <v>7</v>
      </c>
      <c r="G16">
        <f>fuzzifikasi!H4</f>
        <v>0</v>
      </c>
      <c r="H16" t="s">
        <v>7</v>
      </c>
      <c r="I16">
        <f>fuzzifikasi!L4</f>
        <v>0.16666666666666666</v>
      </c>
      <c r="J16">
        <f>MIN(fuzzifikasi!D4,fuzzifikasi!H4,fuzzifikasi!L4)</f>
        <v>0</v>
      </c>
      <c r="K16">
        <f t="shared" si="0"/>
        <v>70</v>
      </c>
      <c r="L16">
        <f>MIN(fuzzifikasi!D4,fuzzifikasi!H4,fuzzifikasi!L4)*K16</f>
        <v>0</v>
      </c>
    </row>
    <row r="17" spans="1:12" x14ac:dyDescent="0.25">
      <c r="A17" t="str">
        <f>fuzzifikasi!A4</f>
        <v>TLKM</v>
      </c>
      <c r="B17">
        <v>4</v>
      </c>
      <c r="C17" t="s">
        <v>14</v>
      </c>
      <c r="D17" t="s">
        <v>8</v>
      </c>
      <c r="E17">
        <f>fuzzifikasi!E4</f>
        <v>0</v>
      </c>
      <c r="F17" t="s">
        <v>6</v>
      </c>
      <c r="G17">
        <f>fuzzifikasi!G4</f>
        <v>0</v>
      </c>
      <c r="H17" t="s">
        <v>6</v>
      </c>
      <c r="I17">
        <f>fuzzifikasi!K4</f>
        <v>0</v>
      </c>
      <c r="J17">
        <f>MIN(fuzzifikasi!E4,fuzzifikasi!G4,fuzzifikasi!K4)</f>
        <v>0</v>
      </c>
      <c r="K17">
        <f t="shared" si="0"/>
        <v>100</v>
      </c>
      <c r="L17">
        <f>MIN(fuzzifikasi!E4,fuzzifikasi!G4,fuzzifikasi!K4)*K17</f>
        <v>0</v>
      </c>
    </row>
    <row r="18" spans="1:12" x14ac:dyDescent="0.25">
      <c r="A18" t="str">
        <f>fuzzifikasi!A4</f>
        <v>TLKM</v>
      </c>
      <c r="B18">
        <v>5</v>
      </c>
      <c r="C18" t="s">
        <v>14</v>
      </c>
      <c r="D18" t="s">
        <v>8</v>
      </c>
      <c r="E18">
        <f>fuzzifikasi!E4</f>
        <v>0</v>
      </c>
      <c r="F18" t="s">
        <v>7</v>
      </c>
      <c r="G18">
        <f>fuzzifikasi!H4</f>
        <v>0</v>
      </c>
      <c r="H18" t="s">
        <v>7</v>
      </c>
      <c r="I18">
        <f>fuzzifikasi!L4</f>
        <v>0.16666666666666666</v>
      </c>
      <c r="J18">
        <f>MIN(fuzzifikasi!E4,fuzzifikasi!H4,fuzzifikasi!L4)</f>
        <v>0</v>
      </c>
      <c r="K18">
        <f t="shared" si="0"/>
        <v>100</v>
      </c>
      <c r="L18">
        <f>MIN(fuzzifikasi!E4,fuzzifikasi!H4,fuzzifikasi!L4)*K18</f>
        <v>0</v>
      </c>
    </row>
    <row r="19" spans="1:12" x14ac:dyDescent="0.25">
      <c r="A19" t="str">
        <f>fuzzifikasi!A4</f>
        <v>TLKM</v>
      </c>
      <c r="B19">
        <v>6</v>
      </c>
      <c r="C19" t="s">
        <v>12</v>
      </c>
      <c r="D19" t="s">
        <v>6</v>
      </c>
      <c r="E19">
        <f>fuzzifikasi!C4</f>
        <v>0</v>
      </c>
      <c r="F19" t="s">
        <v>7</v>
      </c>
      <c r="G19">
        <f>fuzzifikasi!H4</f>
        <v>0</v>
      </c>
      <c r="H19" t="s">
        <v>8</v>
      </c>
      <c r="I19">
        <f>fuzzifikasi!M4</f>
        <v>0</v>
      </c>
      <c r="J19">
        <f>MIN(fuzzifikasi!C4,fuzzifikasi!H4,fuzzifikasi!M4)</f>
        <v>0</v>
      </c>
      <c r="K19">
        <f t="shared" si="0"/>
        <v>40</v>
      </c>
      <c r="L19">
        <f>MIN(fuzzifikasi!C4,fuzzifikasi!H4,fuzzifikasi!M4)*K19</f>
        <v>0</v>
      </c>
    </row>
    <row r="20" spans="1:12" x14ac:dyDescent="0.25">
      <c r="A20" t="str">
        <f>fuzzifikasi!A5</f>
        <v>ASII</v>
      </c>
      <c r="B20">
        <v>1</v>
      </c>
      <c r="C20" t="s">
        <v>12</v>
      </c>
      <c r="D20" t="s">
        <v>6</v>
      </c>
      <c r="E20">
        <f>fuzzifikasi!C5</f>
        <v>0.75</v>
      </c>
      <c r="F20" t="s">
        <v>8</v>
      </c>
      <c r="G20">
        <f>fuzzifikasi!I5</f>
        <v>0</v>
      </c>
      <c r="H20" t="s">
        <v>8</v>
      </c>
      <c r="I20">
        <f>fuzzifikasi!M5</f>
        <v>0</v>
      </c>
      <c r="J20">
        <f>MIN(fuzzifikasi!C5,fuzzifikasi!I5,fuzzifikasi!M5)</f>
        <v>0</v>
      </c>
      <c r="K20">
        <f t="shared" si="0"/>
        <v>40</v>
      </c>
      <c r="L20">
        <f>MIN(fuzzifikasi!C5,fuzzifikasi!I5,fuzzifikasi!M5)*K20</f>
        <v>0</v>
      </c>
    </row>
    <row r="21" spans="1:12" x14ac:dyDescent="0.25">
      <c r="A21" t="str">
        <f>fuzzifikasi!A5</f>
        <v>ASII</v>
      </c>
      <c r="B21">
        <v>2</v>
      </c>
      <c r="C21" t="s">
        <v>13</v>
      </c>
      <c r="D21" t="s">
        <v>7</v>
      </c>
      <c r="E21">
        <f>fuzzifikasi!D5</f>
        <v>0</v>
      </c>
      <c r="F21" t="s">
        <v>8</v>
      </c>
      <c r="G21">
        <f>fuzzifikasi!I5</f>
        <v>0</v>
      </c>
      <c r="H21" t="s">
        <v>8</v>
      </c>
      <c r="I21">
        <f>fuzzifikasi!M5</f>
        <v>0</v>
      </c>
      <c r="J21">
        <f>MIN(fuzzifikasi!D5,fuzzifikasi!I5,fuzzifikasi!M5)</f>
        <v>0</v>
      </c>
      <c r="K21">
        <f t="shared" si="0"/>
        <v>70</v>
      </c>
      <c r="L21">
        <f>MIN(fuzzifikasi!D5,fuzzifikasi!I5,fuzzifikasi!M5)*K21</f>
        <v>0</v>
      </c>
    </row>
    <row r="22" spans="1:12" x14ac:dyDescent="0.25">
      <c r="A22" t="str">
        <f>fuzzifikasi!A5</f>
        <v>ASII</v>
      </c>
      <c r="B22">
        <v>3</v>
      </c>
      <c r="C22" t="s">
        <v>13</v>
      </c>
      <c r="D22" t="s">
        <v>7</v>
      </c>
      <c r="E22">
        <f>fuzzifikasi!D5</f>
        <v>0</v>
      </c>
      <c r="F22" t="s">
        <v>7</v>
      </c>
      <c r="G22">
        <f>fuzzifikasi!H5</f>
        <v>0</v>
      </c>
      <c r="H22" t="s">
        <v>7</v>
      </c>
      <c r="I22">
        <f>fuzzifikasi!L5</f>
        <v>0</v>
      </c>
      <c r="J22">
        <f>MIN(fuzzifikasi!D5,fuzzifikasi!H5,fuzzifikasi!L5)</f>
        <v>0</v>
      </c>
      <c r="K22">
        <f t="shared" si="0"/>
        <v>70</v>
      </c>
      <c r="L22">
        <f>MIN(fuzzifikasi!D5,fuzzifikasi!H5,fuzzifikasi!L5)*K22</f>
        <v>0</v>
      </c>
    </row>
    <row r="23" spans="1:12" x14ac:dyDescent="0.25">
      <c r="A23" t="str">
        <f>fuzzifikasi!A5</f>
        <v>ASII</v>
      </c>
      <c r="B23">
        <v>4</v>
      </c>
      <c r="C23" t="s">
        <v>14</v>
      </c>
      <c r="D23" t="s">
        <v>8</v>
      </c>
      <c r="E23">
        <f>fuzzifikasi!E5</f>
        <v>0</v>
      </c>
      <c r="F23" t="s">
        <v>6</v>
      </c>
      <c r="G23">
        <f>fuzzifikasi!G5</f>
        <v>0.6</v>
      </c>
      <c r="H23" t="s">
        <v>6</v>
      </c>
      <c r="I23">
        <f>fuzzifikasi!K5</f>
        <v>0.2</v>
      </c>
      <c r="J23">
        <f>MIN(fuzzifikasi!E5,fuzzifikasi!G5,fuzzifikasi!K5)</f>
        <v>0</v>
      </c>
      <c r="K23">
        <f t="shared" si="0"/>
        <v>100</v>
      </c>
      <c r="L23">
        <f>MIN(fuzzifikasi!E5,fuzzifikasi!G5,fuzzifikasi!K5)*K23</f>
        <v>0</v>
      </c>
    </row>
    <row r="24" spans="1:12" x14ac:dyDescent="0.25">
      <c r="A24" t="str">
        <f>fuzzifikasi!A5</f>
        <v>ASII</v>
      </c>
      <c r="B24">
        <v>5</v>
      </c>
      <c r="C24" t="s">
        <v>14</v>
      </c>
      <c r="D24" t="s">
        <v>8</v>
      </c>
      <c r="E24">
        <f>fuzzifikasi!E5</f>
        <v>0</v>
      </c>
      <c r="F24" t="s">
        <v>7</v>
      </c>
      <c r="G24">
        <f>fuzzifikasi!H5</f>
        <v>0</v>
      </c>
      <c r="H24" t="s">
        <v>7</v>
      </c>
      <c r="I24">
        <f>fuzzifikasi!L5</f>
        <v>0</v>
      </c>
      <c r="J24">
        <f>MIN(fuzzifikasi!E5,fuzzifikasi!H5,fuzzifikasi!L5)</f>
        <v>0</v>
      </c>
      <c r="K24">
        <f t="shared" si="0"/>
        <v>100</v>
      </c>
      <c r="L24">
        <f>MIN(fuzzifikasi!E5,fuzzifikasi!H5,fuzzifikasi!L5)*K24</f>
        <v>0</v>
      </c>
    </row>
    <row r="25" spans="1:12" x14ac:dyDescent="0.25">
      <c r="A25" t="str">
        <f>fuzzifikasi!A5</f>
        <v>ASII</v>
      </c>
      <c r="B25">
        <v>6</v>
      </c>
      <c r="C25" t="s">
        <v>12</v>
      </c>
      <c r="D25" t="s">
        <v>6</v>
      </c>
      <c r="E25">
        <f>fuzzifikasi!C5</f>
        <v>0.75</v>
      </c>
      <c r="F25" t="s">
        <v>7</v>
      </c>
      <c r="G25">
        <f>fuzzifikasi!H5</f>
        <v>0</v>
      </c>
      <c r="H25" t="s">
        <v>8</v>
      </c>
      <c r="I25">
        <f>fuzzifikasi!M5</f>
        <v>0</v>
      </c>
      <c r="J25">
        <f>MIN(fuzzifikasi!C5,fuzzifikasi!H5,fuzzifikasi!M5)</f>
        <v>0</v>
      </c>
      <c r="K25">
        <f t="shared" si="0"/>
        <v>40</v>
      </c>
      <c r="L25">
        <f>MIN(fuzzifikasi!C5,fuzzifikasi!H5,fuzzifikasi!M5)*K25</f>
        <v>0</v>
      </c>
    </row>
    <row r="26" spans="1:12" x14ac:dyDescent="0.25">
      <c r="A26" t="str">
        <f>fuzzifikasi!A6</f>
        <v>UNVR</v>
      </c>
      <c r="B26">
        <v>1</v>
      </c>
      <c r="C26" t="s">
        <v>12</v>
      </c>
      <c r="D26" t="s">
        <v>6</v>
      </c>
      <c r="E26">
        <f>fuzzifikasi!C6</f>
        <v>0</v>
      </c>
      <c r="F26" t="s">
        <v>8</v>
      </c>
      <c r="G26">
        <f>fuzzifikasi!I6</f>
        <v>0</v>
      </c>
      <c r="H26" t="s">
        <v>8</v>
      </c>
      <c r="I26">
        <f>fuzzifikasi!M6</f>
        <v>0</v>
      </c>
      <c r="J26">
        <f>MIN(fuzzifikasi!C6,fuzzifikasi!I6,fuzzifikasi!M6)</f>
        <v>0</v>
      </c>
      <c r="K26">
        <f t="shared" si="0"/>
        <v>40</v>
      </c>
      <c r="L26">
        <f>MIN(fuzzifikasi!C6,fuzzifikasi!I6,fuzzifikasi!M6)*K26</f>
        <v>0</v>
      </c>
    </row>
    <row r="27" spans="1:12" x14ac:dyDescent="0.25">
      <c r="A27" t="str">
        <f>fuzzifikasi!A6</f>
        <v>UNVR</v>
      </c>
      <c r="B27">
        <v>2</v>
      </c>
      <c r="C27" t="s">
        <v>13</v>
      </c>
      <c r="D27" t="s">
        <v>7</v>
      </c>
      <c r="E27">
        <f>fuzzifikasi!D6</f>
        <v>0</v>
      </c>
      <c r="F27" t="s">
        <v>8</v>
      </c>
      <c r="G27">
        <f>fuzzifikasi!I6</f>
        <v>0</v>
      </c>
      <c r="H27" t="s">
        <v>8</v>
      </c>
      <c r="I27">
        <f>fuzzifikasi!M6</f>
        <v>0</v>
      </c>
      <c r="J27">
        <f>MIN(fuzzifikasi!D6,fuzzifikasi!I6,fuzzifikasi!M6)</f>
        <v>0</v>
      </c>
      <c r="K27">
        <f t="shared" si="0"/>
        <v>70</v>
      </c>
      <c r="L27">
        <f>MIN(fuzzifikasi!D6,fuzzifikasi!I6,fuzzifikasi!M6)*K27</f>
        <v>0</v>
      </c>
    </row>
    <row r="28" spans="1:12" x14ac:dyDescent="0.25">
      <c r="A28" t="str">
        <f>fuzzifikasi!A6</f>
        <v>UNVR</v>
      </c>
      <c r="B28">
        <v>3</v>
      </c>
      <c r="C28" t="s">
        <v>13</v>
      </c>
      <c r="D28" t="s">
        <v>7</v>
      </c>
      <c r="E28">
        <f>fuzzifikasi!D6</f>
        <v>0</v>
      </c>
      <c r="F28" t="s">
        <v>7</v>
      </c>
      <c r="G28">
        <f>fuzzifikasi!H6</f>
        <v>0.16666666666666666</v>
      </c>
      <c r="H28" t="s">
        <v>7</v>
      </c>
      <c r="I28">
        <f>fuzzifikasi!L6</f>
        <v>0.33333333333333331</v>
      </c>
      <c r="J28">
        <f>MIN(fuzzifikasi!D6,fuzzifikasi!H6,fuzzifikasi!L6)</f>
        <v>0</v>
      </c>
      <c r="K28">
        <f t="shared" si="0"/>
        <v>70</v>
      </c>
      <c r="L28">
        <f>MIN(fuzzifikasi!D6,fuzzifikasi!H6,fuzzifikasi!L6)*K28</f>
        <v>0</v>
      </c>
    </row>
    <row r="29" spans="1:12" x14ac:dyDescent="0.25">
      <c r="A29" t="str">
        <f>fuzzifikasi!A6</f>
        <v>UNVR</v>
      </c>
      <c r="B29">
        <v>4</v>
      </c>
      <c r="C29" t="s">
        <v>14</v>
      </c>
      <c r="D29" t="s">
        <v>8</v>
      </c>
      <c r="E29">
        <f>fuzzifikasi!E6</f>
        <v>0.6</v>
      </c>
      <c r="F29" t="s">
        <v>6</v>
      </c>
      <c r="G29">
        <f>fuzzifikasi!G6</f>
        <v>0.16666666666666666</v>
      </c>
      <c r="H29" t="s">
        <v>6</v>
      </c>
      <c r="I29">
        <f>fuzzifikasi!K6</f>
        <v>0</v>
      </c>
      <c r="J29">
        <f>MIN(fuzzifikasi!E6,fuzzifikasi!G6,fuzzifikasi!K6)</f>
        <v>0</v>
      </c>
      <c r="K29">
        <f t="shared" si="0"/>
        <v>100</v>
      </c>
      <c r="L29">
        <f>MIN(fuzzifikasi!E6,fuzzifikasi!G6,fuzzifikasi!K6)*K29</f>
        <v>0</v>
      </c>
    </row>
    <row r="30" spans="1:12" x14ac:dyDescent="0.25">
      <c r="A30" t="str">
        <f>fuzzifikasi!A6</f>
        <v>UNVR</v>
      </c>
      <c r="B30">
        <v>5</v>
      </c>
      <c r="C30" t="s">
        <v>14</v>
      </c>
      <c r="D30" t="s">
        <v>8</v>
      </c>
      <c r="E30">
        <f>fuzzifikasi!E6</f>
        <v>0.6</v>
      </c>
      <c r="F30" t="s">
        <v>7</v>
      </c>
      <c r="G30">
        <f>fuzzifikasi!H6</f>
        <v>0.16666666666666666</v>
      </c>
      <c r="H30" t="s">
        <v>7</v>
      </c>
      <c r="I30">
        <f>fuzzifikasi!L6</f>
        <v>0.33333333333333331</v>
      </c>
      <c r="J30">
        <f>MIN(fuzzifikasi!E6,fuzzifikasi!H6,fuzzifikasi!L6)</f>
        <v>0.16666666666666666</v>
      </c>
      <c r="K30">
        <f t="shared" si="0"/>
        <v>95</v>
      </c>
      <c r="L30">
        <f>MIN(fuzzifikasi!E6,fuzzifikasi!H6,fuzzifikasi!L6)*K30</f>
        <v>15.833333333333332</v>
      </c>
    </row>
    <row r="31" spans="1:12" x14ac:dyDescent="0.25">
      <c r="A31" t="str">
        <f>fuzzifikasi!A6</f>
        <v>UNVR</v>
      </c>
      <c r="B31">
        <v>6</v>
      </c>
      <c r="C31" t="s">
        <v>12</v>
      </c>
      <c r="D31" t="s">
        <v>6</v>
      </c>
      <c r="E31">
        <f>fuzzifikasi!C6</f>
        <v>0</v>
      </c>
      <c r="F31" t="s">
        <v>7</v>
      </c>
      <c r="G31">
        <f>fuzzifikasi!H6</f>
        <v>0.16666666666666666</v>
      </c>
      <c r="H31" t="s">
        <v>8</v>
      </c>
      <c r="I31">
        <f>fuzzifikasi!M6</f>
        <v>0</v>
      </c>
      <c r="J31">
        <f>MIN(fuzzifikasi!C6,fuzzifikasi!H6,fuzzifikasi!M6)</f>
        <v>0</v>
      </c>
      <c r="K31">
        <f t="shared" si="0"/>
        <v>40</v>
      </c>
      <c r="L31">
        <f>MIN(fuzzifikasi!C6,fuzzifikasi!H6,fuzzifikasi!M6)*K31</f>
        <v>0</v>
      </c>
    </row>
    <row r="32" spans="1:12" x14ac:dyDescent="0.25">
      <c r="A32" t="str">
        <f>fuzzifikasi!A7</f>
        <v>ICBP</v>
      </c>
      <c r="B32">
        <v>1</v>
      </c>
      <c r="C32" t="s">
        <v>12</v>
      </c>
      <c r="D32" t="s">
        <v>6</v>
      </c>
      <c r="E32">
        <f>fuzzifikasi!C7</f>
        <v>0</v>
      </c>
      <c r="F32" t="s">
        <v>8</v>
      </c>
      <c r="G32">
        <f>fuzzifikasi!I7</f>
        <v>0</v>
      </c>
      <c r="H32" t="s">
        <v>8</v>
      </c>
      <c r="I32">
        <f>fuzzifikasi!M7</f>
        <v>0</v>
      </c>
      <c r="J32">
        <f>MIN(fuzzifikasi!C7,fuzzifikasi!I7,fuzzifikasi!M7)</f>
        <v>0</v>
      </c>
      <c r="K32">
        <f t="shared" si="0"/>
        <v>40</v>
      </c>
      <c r="L32">
        <f>MIN(fuzzifikasi!C7,fuzzifikasi!I7,fuzzifikasi!M7)*K32</f>
        <v>0</v>
      </c>
    </row>
    <row r="33" spans="1:12" x14ac:dyDescent="0.25">
      <c r="A33" t="str">
        <f>fuzzifikasi!A7</f>
        <v>ICBP</v>
      </c>
      <c r="B33">
        <v>2</v>
      </c>
      <c r="C33" t="s">
        <v>13</v>
      </c>
      <c r="D33" t="s">
        <v>7</v>
      </c>
      <c r="E33">
        <f>fuzzifikasi!D7</f>
        <v>0.66666666666666663</v>
      </c>
      <c r="F33" t="s">
        <v>8</v>
      </c>
      <c r="G33">
        <f>fuzzifikasi!I7</f>
        <v>0</v>
      </c>
      <c r="H33" t="s">
        <v>8</v>
      </c>
      <c r="I33">
        <f>fuzzifikasi!M7</f>
        <v>0</v>
      </c>
      <c r="J33">
        <f>MIN(fuzzifikasi!D7,fuzzifikasi!I7,fuzzifikasi!M7)</f>
        <v>0</v>
      </c>
      <c r="K33">
        <f t="shared" si="0"/>
        <v>70</v>
      </c>
      <c r="L33">
        <f>MIN(fuzzifikasi!D7,fuzzifikasi!I7,fuzzifikasi!M7)*K33</f>
        <v>0</v>
      </c>
    </row>
    <row r="34" spans="1:12" x14ac:dyDescent="0.25">
      <c r="A34" t="str">
        <f>fuzzifikasi!A7</f>
        <v>ICBP</v>
      </c>
      <c r="B34">
        <v>3</v>
      </c>
      <c r="C34" t="s">
        <v>13</v>
      </c>
      <c r="D34" t="s">
        <v>7</v>
      </c>
      <c r="E34">
        <f>fuzzifikasi!D7</f>
        <v>0.66666666666666663</v>
      </c>
      <c r="F34" t="s">
        <v>7</v>
      </c>
      <c r="G34">
        <f>fuzzifikasi!H7</f>
        <v>0.66666666666666663</v>
      </c>
      <c r="H34" t="s">
        <v>7</v>
      </c>
      <c r="I34">
        <f>fuzzifikasi!L7</f>
        <v>0.5</v>
      </c>
      <c r="J34">
        <f>MIN(fuzzifikasi!D7,fuzzifikasi!H7,fuzzifikasi!L7)</f>
        <v>0.5</v>
      </c>
      <c r="K34">
        <f t="shared" si="0"/>
        <v>55</v>
      </c>
      <c r="L34">
        <f>MIN(fuzzifikasi!D7,fuzzifikasi!H7,fuzzifikasi!L7)*K34</f>
        <v>27.5</v>
      </c>
    </row>
    <row r="35" spans="1:12" x14ac:dyDescent="0.25">
      <c r="A35" t="str">
        <f>fuzzifikasi!A7</f>
        <v>ICBP</v>
      </c>
      <c r="B35">
        <v>4</v>
      </c>
      <c r="C35" t="s">
        <v>14</v>
      </c>
      <c r="D35" t="s">
        <v>8</v>
      </c>
      <c r="E35">
        <f>fuzzifikasi!E7</f>
        <v>0</v>
      </c>
      <c r="F35" t="s">
        <v>6</v>
      </c>
      <c r="G35">
        <f>fuzzifikasi!G7</f>
        <v>0</v>
      </c>
      <c r="H35" t="s">
        <v>6</v>
      </c>
      <c r="I35">
        <f>fuzzifikasi!K7</f>
        <v>0</v>
      </c>
      <c r="J35">
        <f>MIN(fuzzifikasi!E7,fuzzifikasi!G7,fuzzifikasi!K7)</f>
        <v>0</v>
      </c>
      <c r="K35">
        <f t="shared" si="0"/>
        <v>100</v>
      </c>
      <c r="L35">
        <f>MIN(fuzzifikasi!E7,fuzzifikasi!G7,fuzzifikasi!K7)*K35</f>
        <v>0</v>
      </c>
    </row>
    <row r="36" spans="1:12" x14ac:dyDescent="0.25">
      <c r="A36" t="str">
        <f>fuzzifikasi!A7</f>
        <v>ICBP</v>
      </c>
      <c r="B36">
        <v>5</v>
      </c>
      <c r="C36" t="s">
        <v>14</v>
      </c>
      <c r="D36" t="s">
        <v>8</v>
      </c>
      <c r="E36">
        <f>fuzzifikasi!E7</f>
        <v>0</v>
      </c>
      <c r="F36" t="s">
        <v>7</v>
      </c>
      <c r="G36">
        <f>fuzzifikasi!H7</f>
        <v>0.66666666666666663</v>
      </c>
      <c r="H36" t="s">
        <v>7</v>
      </c>
      <c r="I36">
        <f>fuzzifikasi!L7</f>
        <v>0.5</v>
      </c>
      <c r="J36">
        <f>MIN(fuzzifikasi!E7,fuzzifikasi!H7,fuzzifikasi!L7)</f>
        <v>0</v>
      </c>
      <c r="K36">
        <f t="shared" si="0"/>
        <v>100</v>
      </c>
      <c r="L36">
        <f>MIN(fuzzifikasi!E7,fuzzifikasi!H7,fuzzifikasi!L7)*K36</f>
        <v>0</v>
      </c>
    </row>
    <row r="37" spans="1:12" x14ac:dyDescent="0.25">
      <c r="A37" t="str">
        <f>fuzzifikasi!A7</f>
        <v>ICBP</v>
      </c>
      <c r="B37">
        <v>6</v>
      </c>
      <c r="C37" t="s">
        <v>12</v>
      </c>
      <c r="D37" t="s">
        <v>6</v>
      </c>
      <c r="E37">
        <f>fuzzifikasi!C7</f>
        <v>0</v>
      </c>
      <c r="F37" t="s">
        <v>7</v>
      </c>
      <c r="G37">
        <f>fuzzifikasi!H7</f>
        <v>0.66666666666666663</v>
      </c>
      <c r="H37" t="s">
        <v>8</v>
      </c>
      <c r="I37">
        <f>fuzzifikasi!M7</f>
        <v>0</v>
      </c>
      <c r="J37">
        <f>MIN(fuzzifikasi!C7,fuzzifikasi!H7,fuzzifikasi!M7)</f>
        <v>0</v>
      </c>
      <c r="K37">
        <f t="shared" si="0"/>
        <v>40</v>
      </c>
      <c r="L37">
        <f>MIN(fuzzifikasi!C7,fuzzifikasi!H7,fuzzifikasi!M7)*K37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selection activeCell="D3" sqref="D3"/>
    </sheetView>
  </sheetViews>
  <sheetFormatPr defaultRowHeight="15" x14ac:dyDescent="0.25"/>
  <cols>
    <col min="2" max="2" width="13.28515625" customWidth="1"/>
    <col min="3" max="3" width="15.140625" customWidth="1"/>
  </cols>
  <sheetData>
    <row r="1" spans="1:5" x14ac:dyDescent="0.25">
      <c r="A1" t="s">
        <v>15</v>
      </c>
      <c r="B1" t="s">
        <v>45</v>
      </c>
      <c r="C1" t="s">
        <v>46</v>
      </c>
      <c r="D1" t="s">
        <v>47</v>
      </c>
      <c r="E1" t="s">
        <v>48</v>
      </c>
    </row>
    <row r="2" spans="1:5" x14ac:dyDescent="0.25">
      <c r="A2" t="str">
        <f>rule_evaluation!A2</f>
        <v>BBCA</v>
      </c>
      <c r="B2">
        <f>SUM(rule_evaluation!J2:J7)</f>
        <v>0.33333333333333331</v>
      </c>
      <c r="C2">
        <f>SUM(rule_evaluation!L2:L7)</f>
        <v>8.8888888888888893</v>
      </c>
      <c r="D2">
        <f>IF(B2=0,0,C2/B2)</f>
        <v>26.666666666666668</v>
      </c>
      <c r="E2" t="str">
        <f>IF(D2&gt;=70,"Low Risk",IF(D2&gt;=40,"Medium Risk","High Risk"))</f>
        <v>High Risk</v>
      </c>
    </row>
    <row r="3" spans="1:5" x14ac:dyDescent="0.25">
      <c r="A3" t="str">
        <f>rule_evaluation!A8</f>
        <v>BBRI</v>
      </c>
      <c r="B3">
        <f>SUM(rule_evaluation!J8:J13)</f>
        <v>0.25</v>
      </c>
      <c r="C3">
        <f>SUM(rule_evaluation!L8:L13)</f>
        <v>23.125</v>
      </c>
      <c r="D3">
        <f t="shared" ref="D3:D7" si="0">IF(B3=0,0,C3/B3)</f>
        <v>92.5</v>
      </c>
      <c r="E3" t="str">
        <f t="shared" ref="E3:E7" si="1">IF(D3&gt;=70,"Low Risk",IF(D3&gt;=40,"Medium Risk","High Risk"))</f>
        <v>Low Risk</v>
      </c>
    </row>
    <row r="4" spans="1:5" x14ac:dyDescent="0.25">
      <c r="A4" t="str">
        <f>rule_evaluation!A14</f>
        <v>TLKM</v>
      </c>
      <c r="B4">
        <f>SUM(rule_evaluation!J14:J19)</f>
        <v>0</v>
      </c>
      <c r="C4">
        <f>SUM(rule_evaluation!L14:L19)</f>
        <v>0</v>
      </c>
      <c r="D4">
        <f t="shared" si="0"/>
        <v>0</v>
      </c>
      <c r="E4" t="str">
        <f t="shared" si="1"/>
        <v>High Risk</v>
      </c>
    </row>
    <row r="5" spans="1:5" x14ac:dyDescent="0.25">
      <c r="A5" t="str">
        <f>rule_evaluation!A20</f>
        <v>ASII</v>
      </c>
      <c r="B5">
        <f>SUM(rule_evaluation!J20:J25)</f>
        <v>0</v>
      </c>
      <c r="C5">
        <f>SUM(rule_evaluation!L20:L25)</f>
        <v>0</v>
      </c>
      <c r="D5">
        <f t="shared" si="0"/>
        <v>0</v>
      </c>
      <c r="E5" t="str">
        <f t="shared" si="1"/>
        <v>High Risk</v>
      </c>
    </row>
    <row r="6" spans="1:5" x14ac:dyDescent="0.25">
      <c r="A6" t="str">
        <f>rule_evaluation!A26</f>
        <v>UNVR</v>
      </c>
      <c r="B6">
        <f>SUM(rule_evaluation!J26:J31)</f>
        <v>0.16666666666666666</v>
      </c>
      <c r="C6">
        <f>SUM(rule_evaluation!L26:L31)</f>
        <v>15.833333333333332</v>
      </c>
      <c r="D6">
        <f t="shared" si="0"/>
        <v>95</v>
      </c>
      <c r="E6" t="str">
        <f t="shared" si="1"/>
        <v>Low Risk</v>
      </c>
    </row>
    <row r="7" spans="1:5" x14ac:dyDescent="0.25">
      <c r="A7" t="str">
        <f>rule_evaluation!A32</f>
        <v>ICBP</v>
      </c>
      <c r="B7">
        <f>SUM(rule_evaluation!J32:J37)</f>
        <v>0.5</v>
      </c>
      <c r="C7">
        <f>SUM(rule_evaluation!L32:L37)</f>
        <v>27.5</v>
      </c>
      <c r="D7">
        <f t="shared" si="0"/>
        <v>55</v>
      </c>
      <c r="E7" t="str">
        <f t="shared" si="1"/>
        <v>Medium Risk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parameter_fuzzy</vt:lpstr>
      <vt:lpstr>aturan_fuzzy</vt:lpstr>
      <vt:lpstr>data_input</vt:lpstr>
      <vt:lpstr>fuzzifikasi</vt:lpstr>
      <vt:lpstr>rule_evaluation</vt:lpstr>
      <vt:lpstr>hasil_final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Hamzah Fauzy</cp:lastModifiedBy>
  <dcterms:created xsi:type="dcterms:W3CDTF">2025-10-31T02:34:59Z</dcterms:created>
  <dcterms:modified xsi:type="dcterms:W3CDTF">2025-10-31T16:54:10Z</dcterms:modified>
</cp:coreProperties>
</file>